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Бетон" sheetId="2" state="visible" r:id="rId2"/>
    <sheet name="Арматура" sheetId="3" state="visible" r:id="rId3"/>
    <sheet name="Земляные работы" sheetId="4" state="visible" r:id="rId4"/>
    <sheet name="Двери и люки" sheetId="5" state="visible" r:id="rId5"/>
    <sheet name="Вентиляция" sheetId="6" state="visible" r:id="rId6"/>
    <sheet name="Электрика" sheetId="7" state="visible" r:id="rId7"/>
    <sheet name="Аккумулятор" sheetId="8" state="visible" r:id="rId8"/>
    <sheet name="Вода" sheetId="9" state="visible" r:id="rId9"/>
    <sheet name="Санитария" sheetId="10" state="visible" r:id="rId10"/>
    <sheet name="Оснащение" sheetId="11" state="visible" r:id="rId11"/>
    <sheet name="Смета" sheetId="12" state="visible" r:id="rId12"/>
    <sheet name="Источники цен" sheetId="13" state="visible" r:id="rId13"/>
    <sheet name="Риски" sheetId="14" state="visible" r:id="rId14"/>
    <sheet name="Вопросы инженеру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FDEAEA"/>
      </patternFill>
    </fill>
    <fill>
      <patternFill patternType="solid">
        <fgColor rgb="00DBE5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0" customWidth="1" min="3" max="3"/>
    <col width="20" customWidth="1" min="4" max="4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5">
      <c r="A5" s="2" t="inlineStr">
        <is>
          <t>Объект</t>
        </is>
      </c>
      <c r="B5" t="inlineStr">
        <is>
          <t>Полностью подземное гражданское укрытие 3,0х4,0 м (в свету)</t>
        </is>
      </c>
    </row>
    <row r="6">
      <c r="A6" s="2" t="inlineStr">
        <is>
          <t>Местоположение</t>
        </is>
      </c>
      <c r="B6" t="inlineStr">
        <is>
          <t>г. Киев, Русановские сады (частный участок)</t>
        </is>
      </c>
    </row>
    <row r="7">
      <c r="A7" s="2" t="inlineStr">
        <is>
          <t>Дата</t>
        </is>
      </c>
      <c r="B7" t="inlineStr">
        <is>
          <t>12.09.2026</t>
        </is>
      </c>
    </row>
    <row r="9">
      <c r="A9" s="3" t="inlineStr">
        <is>
          <t>Параметр</t>
        </is>
      </c>
      <c r="B9" s="3" t="inlineStr">
        <is>
          <t>Код</t>
        </is>
      </c>
      <c r="C9" s="3" t="inlineStr">
        <is>
          <t>Значение</t>
        </is>
      </c>
    </row>
    <row r="10">
      <c r="A10" t="inlineStr">
        <is>
          <t>Внутренняя длина, мм</t>
        </is>
      </c>
      <c r="B10" t="inlineStr">
        <is>
          <t>IN_L</t>
        </is>
      </c>
      <c r="C10" t="n">
        <v>4000</v>
      </c>
    </row>
    <row r="11">
      <c r="A11" t="inlineStr">
        <is>
          <t>Внутренняя ширина, мм</t>
        </is>
      </c>
      <c r="B11" t="inlineStr">
        <is>
          <t>IN_W</t>
        </is>
      </c>
      <c r="C11" t="n">
        <v>3000</v>
      </c>
    </row>
    <row r="12">
      <c r="A12" t="inlineStr">
        <is>
          <t>Чистая высота, мм</t>
        </is>
      </c>
      <c r="B12" t="inlineStr">
        <is>
          <t>IN_H</t>
        </is>
      </c>
      <c r="C12" t="n">
        <v>2200</v>
      </c>
    </row>
    <row r="13">
      <c r="A13" t="inlineStr">
        <is>
          <t>Толщина стен, мм</t>
        </is>
      </c>
      <c r="B13" t="inlineStr">
        <is>
          <t>WALL_T</t>
        </is>
      </c>
      <c r="C13" t="n">
        <v>300</v>
      </c>
    </row>
    <row r="14">
      <c r="A14" t="inlineStr">
        <is>
          <t>Толщина верхней плиты, мм</t>
        </is>
      </c>
      <c r="B14" t="inlineStr">
        <is>
          <t>TOP_SLAB_T</t>
        </is>
      </c>
      <c r="C14" t="n">
        <v>400</v>
      </c>
    </row>
    <row r="15">
      <c r="A15" t="inlineStr">
        <is>
          <t>Толщина нижней плиты (сцен. A), мм</t>
        </is>
      </c>
      <c r="B15" t="inlineStr">
        <is>
          <t>BOT_SLAB_T</t>
        </is>
      </c>
      <c r="C15" t="n">
        <v>350</v>
      </c>
    </row>
    <row r="16">
      <c r="A16" t="inlineStr">
        <is>
          <t>Толщина нижней плиты (сцен. B, усил.), мм</t>
        </is>
      </c>
      <c r="B16" t="inlineStr">
        <is>
          <t>BOT_SLAB_T_B</t>
        </is>
      </c>
      <c r="C16" t="n">
        <v>400</v>
      </c>
    </row>
    <row r="17">
      <c r="A17" t="inlineStr">
        <is>
          <t>Грунт над верхней плитой, мм</t>
        </is>
      </c>
      <c r="B17" t="inlineStr">
        <is>
          <t>SOIL_OVER_TOP</t>
        </is>
      </c>
      <c r="C17" t="n">
        <v>100</v>
      </c>
    </row>
    <row r="18">
      <c r="A18" t="inlineStr">
        <is>
          <t>Проём входа, мм</t>
        </is>
      </c>
      <c r="B18" t="inlineStr">
        <is>
          <t>ENTRY_OPENING</t>
        </is>
      </c>
      <c r="C18" t="n">
        <v>900</v>
      </c>
    </row>
    <row r="19">
      <c r="A19" t="inlineStr">
        <is>
          <t>Аварийный люк, мм</t>
        </is>
      </c>
      <c r="B19" t="inlineStr">
        <is>
          <t>HATCH</t>
        </is>
      </c>
      <c r="C19" t="inlineStr">
        <is>
          <t>800x800</t>
        </is>
      </c>
    </row>
    <row r="20">
      <c r="A20" t="inlineStr">
        <is>
          <t>Количество людей</t>
        </is>
      </c>
      <c r="B20" t="inlineStr">
        <is>
          <t>PEOPLE</t>
        </is>
      </c>
      <c r="C20" t="n">
        <v>4</v>
      </c>
    </row>
    <row r="22">
      <c r="A22" s="2" t="inlineStr">
        <is>
          <t>Наружная длина (=IN_L+2*WALL_T), мм</t>
        </is>
      </c>
      <c r="C22">
        <f>C10+2*C13</f>
        <v/>
      </c>
    </row>
    <row r="23">
      <c r="A23" s="2" t="inlineStr">
        <is>
          <t>Наружная ширина (=IN_W+2*WALL_T), мм</t>
        </is>
      </c>
      <c r="C23">
        <f>C11+2*C13</f>
        <v/>
      </c>
    </row>
    <row r="24">
      <c r="A24" s="2" t="inlineStr">
        <is>
          <t>Общая глубина (=SOIL+TOP+IN_H+BOT_A), мм</t>
        </is>
      </c>
      <c r="C24">
        <f>C17+C14+C12+C15</f>
        <v/>
      </c>
    </row>
    <row r="26">
      <c r="A26" s="2" t="inlineStr">
        <is>
          <t>Материалы (предварительно)</t>
        </is>
      </c>
    </row>
    <row r="27">
      <c r="A27" t="inlineStr">
        <is>
          <t>Бетон: C35/45 W12 F200</t>
        </is>
      </c>
    </row>
    <row r="28">
      <c r="A28" t="inlineStr">
        <is>
          <t>Арматура: A500C</t>
        </is>
      </c>
    </row>
    <row r="29">
      <c r="A29" t="inlineStr">
        <is>
          <t>Стены: Ø12/150 верт.+гориз., 2 сетки</t>
        </is>
      </c>
    </row>
    <row r="30">
      <c r="A30" t="inlineStr">
        <is>
          <t>Плиты (верх/низ): Ø14/150х150, верх+низ сетки</t>
        </is>
      </c>
    </row>
    <row r="31">
      <c r="A31" t="inlineStr">
        <is>
          <t>Усиление проёмов: Ø16 (предварительно)</t>
        </is>
      </c>
    </row>
    <row r="33">
      <c r="A33" s="4" t="inlineStr">
        <is>
          <t>ОТСУТСТВУЮЩИЕ ИСХОДНЫЕ ДАННЫЕ (обязательны до рабочего проекта)</t>
        </is>
      </c>
    </row>
    <row r="34">
      <c r="A34" s="5" t="inlineStr">
        <is>
          <t>- Инженерно-геологические изыскания (литология, УГВ, физ-мех. св-ва грунтов)</t>
        </is>
      </c>
    </row>
    <row r="35">
      <c r="A35" s="5" t="inlineStr">
        <is>
          <t>- Уровень грунтовых вод (сезонный максимум)</t>
        </is>
      </c>
    </row>
    <row r="36">
      <c r="A36" s="5" t="inlineStr">
        <is>
          <t>- Плотность и угол внутреннего трения грунта обратной засыпки</t>
        </is>
      </c>
    </row>
    <row r="37">
      <c r="A37" s="5" t="inlineStr">
        <is>
          <t>- Расчётное сопротивление основания R0</t>
        </is>
      </c>
    </row>
    <row r="38">
      <c r="A38" s="5" t="inlineStr">
        <is>
          <t>- Фактическая отметка участка, геодезическая привязка</t>
        </is>
      </c>
    </row>
    <row r="39">
      <c r="A39" s="5" t="inlineStr">
        <is>
          <t>- Нагрузки сверху (проезд техники, снег, благоустройство)</t>
        </is>
      </c>
    </row>
    <row r="40">
      <c r="A40" s="5" t="inlineStr">
        <is>
          <t>- Требуемый класс защитного сооружения ЦЗ</t>
        </is>
      </c>
    </row>
    <row r="41">
      <c r="A41" s="5" t="inlineStr">
        <is>
          <t>- Паспортные данные выбранных дверей и люка</t>
        </is>
      </c>
    </row>
  </sheetData>
  <mergeCells count="1">
    <mergeCell ref="A1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22" customWidth="1" min="5" max="5"/>
    <col width="30" customWidth="1" min="6" max="6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5">
      <c r="A5" s="2" t="inlineStr">
        <is>
          <t>Класс бетона: C35/45 W12 F200 (предварительно)</t>
        </is>
      </c>
    </row>
    <row r="7">
      <c r="A7" s="2" t="inlineStr">
        <is>
          <t>Площадь наружная, м2</t>
        </is>
      </c>
      <c r="C7">
        <f>('Исходные данные'!C22/1000)*('Исходные данные'!C23/1000)</f>
        <v/>
      </c>
    </row>
    <row r="8">
      <c r="A8" s="2" t="inlineStr">
        <is>
          <t>Площадь внутренняя, м2</t>
        </is>
      </c>
      <c r="C8">
        <f>('Исходные данные'!C10/1000)*('Исходные данные'!C11/1000)</f>
        <v/>
      </c>
    </row>
    <row r="9">
      <c r="A9" s="2" t="inlineStr">
        <is>
          <t>Площадь стен в плане, м2</t>
        </is>
      </c>
      <c r="C9">
        <f>Бетон!C7-Бетон!C8</f>
        <v/>
      </c>
    </row>
    <row r="11">
      <c r="A11" s="3" t="inlineStr">
        <is>
          <t>Элемент</t>
        </is>
      </c>
      <c r="B11" s="3" t="inlineStr">
        <is>
          <t>Толщина/высота, мм</t>
        </is>
      </c>
      <c r="C11" s="3" t="inlineStr">
        <is>
          <t>Формула объёма</t>
        </is>
      </c>
      <c r="D11" s="3" t="inlineStr">
        <is>
          <t>Объём, м3</t>
        </is>
      </c>
      <c r="E11" s="3" t="inlineStr">
        <is>
          <t>Класс бетона</t>
        </is>
      </c>
      <c r="F11" s="3" t="inlineStr">
        <is>
          <t>Примечание</t>
        </is>
      </c>
    </row>
    <row r="12">
      <c r="A12" s="6" t="inlineStr">
        <is>
          <t>Нижняя плита (сцен. A)</t>
        </is>
      </c>
      <c r="B12" s="6">
        <f>'Исходные данные'!C15</f>
        <v/>
      </c>
      <c r="C12" s="6" t="inlineStr">
        <is>
          <t>площ.наруж x B12/1000</t>
        </is>
      </c>
      <c r="D12" s="6">
        <f>Бетон!C7*(B12/1000)</f>
        <v/>
      </c>
      <c r="E12" s="6" t="inlineStr">
        <is>
          <t>C35/45 W12 F200</t>
        </is>
      </c>
      <c r="F12" s="6" t="inlineStr">
        <is>
          <t>по сценарию A</t>
        </is>
      </c>
    </row>
    <row r="13">
      <c r="A13" s="6" t="inlineStr">
        <is>
          <t>Нижняя плита (сцен. B, усил.)</t>
        </is>
      </c>
      <c r="B13" s="6">
        <f>'Исходные данные'!C16</f>
        <v/>
      </c>
      <c r="C13" s="6" t="inlineStr">
        <is>
          <t>площ.наруж x B13/1000</t>
        </is>
      </c>
      <c r="D13" s="6">
        <f>Бетон!C7*(B13/1000)</f>
        <v/>
      </c>
      <c r="E13" s="6" t="inlineStr">
        <is>
          <t>C35/45 W12 F200</t>
        </is>
      </c>
      <c r="F13" s="6" t="inlineStr">
        <is>
          <t>по сценарию B</t>
        </is>
      </c>
    </row>
    <row r="14">
      <c r="A14" s="6" t="inlineStr">
        <is>
          <t>Стены</t>
        </is>
      </c>
      <c r="B14" s="6">
        <f>'Исходные данные'!C12</f>
        <v/>
      </c>
      <c r="C14" s="6" t="inlineStr">
        <is>
          <t>площ.стен x B14/1000</t>
        </is>
      </c>
      <c r="D14" s="6">
        <f>Бетон!C9*(B14/1000)</f>
        <v/>
      </c>
      <c r="E14" s="6" t="inlineStr">
        <is>
          <t>C35/45 W12 F200</t>
        </is>
      </c>
      <c r="F14" s="6" t="inlineStr">
        <is>
          <t>чистая высота</t>
        </is>
      </c>
    </row>
    <row r="15">
      <c r="A15" s="6" t="inlineStr">
        <is>
          <t>Верхняя плита</t>
        </is>
      </c>
      <c r="B15" s="6">
        <f>'Исходные данные'!C14</f>
        <v/>
      </c>
      <c r="C15" s="6" t="inlineStr">
        <is>
          <t>площ.наруж x B15/1000</t>
        </is>
      </c>
      <c r="D15" s="6">
        <f>Бетон!C7*(B15/1000)</f>
        <v/>
      </c>
      <c r="E15" s="6" t="inlineStr">
        <is>
          <t>C35/45 W12 F200</t>
        </is>
      </c>
      <c r="F15" s="6" t="inlineStr"/>
    </row>
    <row r="16">
      <c r="A16" s="6" t="inlineStr">
        <is>
          <t>Входная шахта (предв.)</t>
        </is>
      </c>
      <c r="B16" s="6" t="n"/>
      <c r="C16" s="6" t="n"/>
      <c r="D16" s="6" t="n">
        <v>1.8</v>
      </c>
      <c r="E16" s="6" t="inlineStr">
        <is>
          <t>C35/45 W12 F200</t>
        </is>
      </c>
      <c r="F16" s="6" t="inlineStr">
        <is>
          <t>предварительно, укрупнённо</t>
        </is>
      </c>
    </row>
    <row r="17">
      <c r="A17" s="6" t="inlineStr">
        <is>
          <t>Аварийная шахта (предв.)</t>
        </is>
      </c>
      <c r="B17" s="6" t="n"/>
      <c r="C17" s="6" t="n"/>
      <c r="D17" s="6" t="n">
        <v>0.9</v>
      </c>
      <c r="E17" s="6" t="inlineStr">
        <is>
          <t>C35/45 W12 F200</t>
        </is>
      </c>
      <c r="F17" s="6" t="inlineStr">
        <is>
          <t>предварительно, укрупнённо</t>
        </is>
      </c>
    </row>
    <row r="18">
      <c r="A18" s="6" t="inlineStr">
        <is>
          <t>Технологический резерв</t>
        </is>
      </c>
      <c r="B18" s="6" t="n"/>
      <c r="C18" s="6" t="n"/>
      <c r="D18" s="6" t="n">
        <v>0.85</v>
      </c>
      <c r="E18" s="6" t="inlineStr">
        <is>
          <t>C35/45 W12 F200</t>
        </is>
      </c>
      <c r="F18" s="6" t="inlineStr">
        <is>
          <t>предварительно, укрупнённо</t>
        </is>
      </c>
    </row>
    <row r="19">
      <c r="A19" s="7" t="inlineStr">
        <is>
          <t>ИТОГО (заказ, сценарий A нижней плиты)</t>
        </is>
      </c>
      <c r="B19" s="6" t="n"/>
      <c r="C19" s="6" t="n"/>
      <c r="D19" s="7">
        <f>D12+D14+D15+SUM(D16:D18)</f>
        <v/>
      </c>
      <c r="E19" s="6" t="n"/>
      <c r="F19" s="6" t="n"/>
    </row>
    <row r="21">
      <c r="A21" t="inlineStr">
        <is>
          <t>Примечание: объёмы — предварительные (укрупнённая методика). Наружная гидроизоляция</t>
        </is>
      </c>
    </row>
    <row r="22">
      <c r="A22" t="inlineStr">
        <is>
          <t>невозможна -&gt; рассматривать как 'белую ванну' (см. README).</t>
        </is>
      </c>
    </row>
  </sheetData>
  <mergeCells count="1">
    <mergeCell ref="A1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2" t="inlineStr">
        <is>
          <t>Класс арматуры</t>
        </is>
      </c>
      <c r="B6" t="inlineStr">
        <is>
          <t>A500C</t>
        </is>
      </c>
    </row>
    <row r="7">
      <c r="A7" s="2" t="inlineStr">
        <is>
          <t>Шаг основной арматуры, мм</t>
        </is>
      </c>
      <c r="B7" t="n">
        <v>150</v>
      </c>
    </row>
    <row r="8">
      <c r="A8" s="2" t="inlineStr">
        <is>
          <t>Линейная масса Ø12, кг/м</t>
        </is>
      </c>
      <c r="B8" t="n">
        <v>0.888</v>
      </c>
    </row>
    <row r="9">
      <c r="A9" s="2" t="inlineStr">
        <is>
          <t>Линейная масса Ø14, кг/м</t>
        </is>
      </c>
      <c r="B9" t="n">
        <v>1.208</v>
      </c>
    </row>
    <row r="10">
      <c r="A10" s="2" t="inlineStr">
        <is>
          <t>Линейная масса Ø16, кг/м</t>
        </is>
      </c>
      <c r="B10" t="n">
        <v>1.578</v>
      </c>
    </row>
    <row r="12">
      <c r="A12" s="2" t="inlineStr">
        <is>
          <t>Периметр стен по осям, м</t>
        </is>
      </c>
      <c r="B12">
        <f>2*(('Исходные данные'!C22-'Исходные данные'!C13)+('Исходные данные'!C23-'Исходные данные'!C13))/1000</f>
        <v/>
      </c>
    </row>
    <row r="13">
      <c r="A13" s="2" t="inlineStr">
        <is>
          <t>Длина верт. стержня (высота+2х300 анкеровка), м</t>
        </is>
      </c>
      <c r="B13">
        <f>('Исходные данные'!C12+600)/1000</f>
        <v/>
      </c>
    </row>
    <row r="14">
      <c r="A14" s="2" t="inlineStr">
        <is>
          <t>Число верт. стержней на 1 сетку</t>
        </is>
      </c>
      <c r="B14">
        <f>ROUND(Арматура!B12*1000/Арматура!B7,0)+1</f>
        <v/>
      </c>
    </row>
    <row r="15">
      <c r="A15" s="2" t="inlineStr">
        <is>
          <t>Число гориз. стержней на 1 сетку (по высоте)</t>
        </is>
      </c>
      <c r="B15">
        <f>ROUND('Исходные данные'!C12/Арматура!B7,0)+1</f>
        <v/>
      </c>
    </row>
    <row r="16">
      <c r="A16" s="2" t="inlineStr">
        <is>
          <t>Длина 1 гориз. стержня (периметр+нахлёст 0.3м), м</t>
        </is>
      </c>
      <c r="B16">
        <f>Арматура!B12+0.3</f>
        <v/>
      </c>
    </row>
    <row r="18">
      <c r="A18" s="3" t="inlineStr">
        <is>
          <t>Поз.</t>
        </is>
      </c>
      <c r="B18" s="3" t="inlineStr">
        <is>
          <t>Ø, мм</t>
        </is>
      </c>
      <c r="C18" s="3" t="inlineStr">
        <is>
          <t>Назначение</t>
        </is>
      </c>
      <c r="D18" s="3" t="inlineStr">
        <is>
          <t>Кол-во стержней</t>
        </is>
      </c>
      <c r="E18" s="3" t="inlineStr">
        <is>
          <t>Длина стержня, м</t>
        </is>
      </c>
      <c r="F18" s="3" t="inlineStr">
        <is>
          <t>Общая длина, м</t>
        </is>
      </c>
      <c r="G18" s="3" t="inlineStr">
        <is>
          <t>Масса, кг</t>
        </is>
      </c>
    </row>
    <row r="19">
      <c r="A19" s="6" t="n">
        <v>1</v>
      </c>
      <c r="B19" s="6" t="n">
        <v>12</v>
      </c>
      <c r="C19" s="6" t="inlineStr">
        <is>
          <t>Стены верт. (2 сетки)</t>
        </is>
      </c>
      <c r="D19" s="6">
        <f>2*Арматура!B14</f>
        <v/>
      </c>
      <c r="E19" s="6">
        <f>Арматура!B13</f>
        <v/>
      </c>
      <c r="F19" s="6">
        <f>D19*E19</f>
        <v/>
      </c>
      <c r="G19" s="6">
        <f>F19*Арматура!B8</f>
        <v/>
      </c>
    </row>
    <row r="20">
      <c r="A20" s="6" t="n">
        <v>2</v>
      </c>
      <c r="B20" s="6" t="n">
        <v>12</v>
      </c>
      <c r="C20" s="6" t="inlineStr">
        <is>
          <t>Стены гориз. (2 сетки)</t>
        </is>
      </c>
      <c r="D20" s="6">
        <f>2*Арматура!B15</f>
        <v/>
      </c>
      <c r="E20" s="6">
        <f>Арматура!B16</f>
        <v/>
      </c>
      <c r="F20" s="6">
        <f>D20*E20</f>
        <v/>
      </c>
      <c r="G20" s="6">
        <f>F20*Арматура!B8</f>
        <v/>
      </c>
    </row>
    <row r="21">
      <c r="A21" s="6" t="n">
        <v>3</v>
      </c>
      <c r="B21" s="6" t="n">
        <v>12</v>
      </c>
      <c r="C21" s="6" t="inlineStr">
        <is>
          <t>Угловые/доборные эл-ты стен (~8%, предв.)</t>
        </is>
      </c>
      <c r="D21" s="6" t="n"/>
      <c r="E21" s="6" t="n"/>
      <c r="F21" s="6" t="n"/>
      <c r="G21" s="6">
        <f>0.08*(G19+G20)</f>
        <v/>
      </c>
    </row>
    <row r="22">
      <c r="A22" s="6" t="n">
        <v>4</v>
      </c>
      <c r="B22" s="6" t="n">
        <v>14</v>
      </c>
      <c r="C22" s="6" t="inlineStr">
        <is>
          <t>Верхняя плита, сетка верх+низ</t>
        </is>
      </c>
      <c r="D22" s="6">
        <f>2*((ROUND('Исходные данные'!C23/Арматура!B7,0)+1)+(ROUND('Исходные данные'!C22/Арматура!B7,0)+1))</f>
        <v/>
      </c>
      <c r="E22" s="6" t="n"/>
      <c r="F22" s="6">
        <f>2*((ROUND('Исходные данные'!C23/Арматура!B7,0)+1)*'Исходные данные'!C22/1000+(ROUND('Исходные данные'!C22/Арматура!B7,0)+1)*'Исходные данные'!C23/1000)</f>
        <v/>
      </c>
      <c r="G22" s="6">
        <f>F22*Арматура!B9</f>
        <v/>
      </c>
    </row>
    <row r="23">
      <c r="A23" s="6" t="n">
        <v>5</v>
      </c>
      <c r="B23" s="6" t="n">
        <v>14</v>
      </c>
      <c r="C23" s="6" t="inlineStr">
        <is>
          <t>Нижняя плита, сетка верх+низ</t>
        </is>
      </c>
      <c r="D23" s="6">
        <f>2*((ROUND('Исходные данные'!C23/Арматура!B7,0)+1)+(ROUND('Исходные данные'!C22/Арматура!B7,0)+1))</f>
        <v/>
      </c>
      <c r="E23" s="6" t="n"/>
      <c r="F23" s="6">
        <f>2*((ROUND('Исходные данные'!C23/Арматура!B7,0)+1)*'Исходные данные'!C22/1000+(ROUND('Исходные данные'!C22/Арматура!B7,0)+1)*'Исходные данные'!C23/1000)</f>
        <v/>
      </c>
      <c r="G23" s="6">
        <f>F23*Арматура!B9</f>
        <v/>
      </c>
    </row>
    <row r="24">
      <c r="A24" s="6" t="n">
        <v>6</v>
      </c>
      <c r="B24" s="6" t="n">
        <v>16</v>
      </c>
      <c r="C24" s="6" t="inlineStr">
        <is>
          <t>Усиление проёма входа (4х1.5м, предв.)</t>
        </is>
      </c>
      <c r="D24" s="6" t="n">
        <v>4</v>
      </c>
      <c r="E24" s="6" t="n">
        <v>1.5</v>
      </c>
      <c r="F24" s="6">
        <f>D24*E24</f>
        <v/>
      </c>
      <c r="G24" s="6">
        <f>F24*Арматура!B10</f>
        <v/>
      </c>
    </row>
    <row r="25">
      <c r="A25" s="6" t="n">
        <v>7</v>
      </c>
      <c r="B25" s="6" t="n">
        <v>16</v>
      </c>
      <c r="C25" s="6" t="inlineStr">
        <is>
          <t>Усиление проёма авар. люка (4х1.5м, предв.)</t>
        </is>
      </c>
      <c r="D25" s="6" t="n">
        <v>4</v>
      </c>
      <c r="E25" s="6" t="n">
        <v>1.5</v>
      </c>
      <c r="F25" s="6">
        <f>D25*E25</f>
        <v/>
      </c>
      <c r="G25" s="6">
        <f>F25*Арматура!B10</f>
        <v/>
      </c>
    </row>
    <row r="26">
      <c r="A26" s="6" t="n">
        <v>8</v>
      </c>
      <c r="B26" s="6" t="n"/>
      <c r="C26" s="6" t="inlineStr">
        <is>
          <t>Монтажная арматура (фиксаторы, ~3%)</t>
        </is>
      </c>
      <c r="D26" s="6" t="n"/>
      <c r="E26" s="6" t="n"/>
      <c r="F26" s="6" t="n"/>
      <c r="G26" s="6">
        <f>0.03*(G19+G20+G22+G23)</f>
        <v/>
      </c>
    </row>
    <row r="27">
      <c r="A27" s="6" t="n">
        <v>9</v>
      </c>
      <c r="B27" s="6" t="n"/>
      <c r="C27" s="6" t="inlineStr">
        <is>
          <t>Технологический запас (~5%)</t>
        </is>
      </c>
      <c r="D27" s="6" t="n"/>
      <c r="E27" s="6" t="n"/>
      <c r="F27" s="6" t="n"/>
      <c r="G27" s="6">
        <f>0.05*(G19+G20+G22+G23+G24+G25+G21+G26)</f>
        <v/>
      </c>
    </row>
    <row r="28">
      <c r="A28" s="6" t="n"/>
      <c r="B28" s="6" t="n"/>
      <c r="C28" s="7" t="inlineStr">
        <is>
          <t>ВСЕГО, кг</t>
        </is>
      </c>
      <c r="D28" s="6" t="n"/>
      <c r="E28" s="6" t="n"/>
      <c r="F28" s="6" t="n"/>
      <c r="G28" s="7">
        <f>SUM(G19:G27)</f>
        <v/>
      </c>
    </row>
    <row r="29">
      <c r="C29" s="2" t="inlineStr">
        <is>
          <t>ВСЕГО, т</t>
        </is>
      </c>
      <c r="G29">
        <f>G28/1000</f>
        <v/>
      </c>
    </row>
    <row r="31">
      <c r="A31" t="inlineStr">
        <is>
          <t>Ориентир ТЗ: ~2,4 т — сверить после разработки рабочих чертежей.</t>
        </is>
      </c>
    </row>
  </sheetData>
  <mergeCells count="1">
    <mergeCell ref="A1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2" t="inlineStr">
        <is>
          <t>Отступ котлована от короба на сторону, м</t>
        </is>
      </c>
      <c r="B6" t="n">
        <v>1</v>
      </c>
    </row>
    <row r="7">
      <c r="A7" s="2" t="inlineStr">
        <is>
          <t>Запас по глубине (рабочее пространство), м</t>
        </is>
      </c>
      <c r="B7" t="n">
        <v>0.3</v>
      </c>
    </row>
    <row r="9">
      <c r="A9" s="2" t="inlineStr">
        <is>
          <t>Длина котлована, м</t>
        </is>
      </c>
      <c r="B9">
        <f>('Исходные данные'!C22/1000)+2*'Земляные работы'!B6</f>
        <v/>
      </c>
    </row>
    <row r="10">
      <c r="A10" s="2" t="inlineStr">
        <is>
          <t>Ширина котлована, м</t>
        </is>
      </c>
      <c r="B10">
        <f>('Исходные данные'!C23/1000)+2*'Земляные работы'!B6</f>
        <v/>
      </c>
    </row>
    <row r="11">
      <c r="A11" s="2" t="inlineStr">
        <is>
          <t>Глубина котлована, м</t>
        </is>
      </c>
      <c r="B11">
        <f>('Исходные данные'!C17+'Исходные данные'!C14+'Исходные данные'!C12+'Исходные данные'!C15)/1000+'Земляные работы'!B7</f>
        <v/>
      </c>
    </row>
    <row r="12">
      <c r="A12" s="2" t="inlineStr">
        <is>
          <t>Объём котлована, м3</t>
        </is>
      </c>
      <c r="B12">
        <f>'Земляные работы'!B9*'Земляные работы'!B10*'Земляные работы'!B11</f>
        <v/>
      </c>
    </row>
    <row r="13">
      <c r="A13" s="2" t="inlineStr">
        <is>
          <t>Объём обратной засыпки (~40% от котлована), м3</t>
        </is>
      </c>
      <c r="B13">
        <f>0.4*'Земляные работы'!B12</f>
        <v/>
      </c>
    </row>
    <row r="14">
      <c r="A14" s="2" t="inlineStr">
        <is>
          <t>Вывоз излишков грунта, м3</t>
        </is>
      </c>
      <c r="B14">
        <f>'Земляные работы'!B12-'Земляные работы'!B13</f>
        <v/>
      </c>
    </row>
    <row r="16">
      <c r="A16" s="3" t="inlineStr">
        <is>
          <t>Статья</t>
        </is>
      </c>
      <c r="B16" s="3" t="inlineStr">
        <is>
          <t>LOW, грн</t>
        </is>
      </c>
      <c r="C16" s="3" t="inlineStr">
        <is>
          <t>REALISTIC, грн</t>
        </is>
      </c>
      <c r="D16" s="3" t="inlineStr">
        <is>
          <t>HIGH, грн</t>
        </is>
      </c>
    </row>
    <row r="17">
      <c r="A17" t="inlineStr">
        <is>
          <t>Земляные работы: разработка котлована, вывоз/размещение грунта, обратная засыпка (объём котлована ~130 м3, ориентировочно)</t>
        </is>
      </c>
      <c r="B17" t="n">
        <v>55000</v>
      </c>
      <c r="C17" t="n">
        <v>90000</v>
      </c>
      <c r="D17" t="n">
        <v>140000</v>
      </c>
    </row>
    <row r="18">
      <c r="A18" s="2" t="inlineStr">
        <is>
          <t>ПОДЫТОГ (A)</t>
        </is>
      </c>
      <c r="B18" s="2">
        <f>SUM(B17:B17)</f>
        <v/>
      </c>
      <c r="C18" s="2">
        <f>SUM(C17:C17)</f>
        <v/>
      </c>
      <c r="D18" s="2">
        <f>SUM(D17:D17)</f>
        <v/>
      </c>
    </row>
  </sheetData>
  <mergeCells count="1">
    <mergeCell ref="A1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Наименование</t>
        </is>
      </c>
      <c r="B6" s="3" t="inlineStr">
        <is>
          <t>Ед.</t>
        </is>
      </c>
      <c r="C6" s="3" t="inlineStr">
        <is>
          <t>Кол-во</t>
        </is>
      </c>
      <c r="D6" s="3" t="inlineStr">
        <is>
          <t>LOW цена/ед</t>
        </is>
      </c>
      <c r="E6" s="3" t="inlineStr">
        <is>
          <t>REALISTIC цена/ед</t>
        </is>
      </c>
      <c r="F6" s="3" t="inlineStr">
        <is>
          <t>HIGH цена/ед</t>
        </is>
      </c>
      <c r="G6" s="3" t="inlineStr">
        <is>
          <t>LOW сумма</t>
        </is>
      </c>
      <c r="H6" s="3" t="inlineStr">
        <is>
          <t>REALISTIC сумма</t>
        </is>
      </c>
      <c r="I6" s="3" t="inlineStr">
        <is>
          <t>HIGH сумма</t>
        </is>
      </c>
      <c r="J6" s="3" t="inlineStr">
        <is>
          <t>Примечание</t>
        </is>
      </c>
    </row>
    <row r="7">
      <c r="A7" s="6" t="inlineStr">
        <is>
          <t>Наружная защитно-герметичная дверь (проём 900мм)</t>
        </is>
      </c>
      <c r="B7" s="6" t="inlineStr">
        <is>
          <t>шт</t>
        </is>
      </c>
      <c r="C7" s="6" t="n">
        <v>1</v>
      </c>
      <c r="D7" s="6" t="n">
        <v>40000</v>
      </c>
      <c r="E7" s="6" t="n">
        <v>60000</v>
      </c>
      <c r="F7" s="6" t="n">
        <v>90000</v>
      </c>
      <c r="G7" s="6">
        <f>C7*D7</f>
        <v/>
      </c>
      <c r="H7" s="6">
        <f>C7*E7</f>
        <v/>
      </c>
      <c r="I7" s="6">
        <f>C7*F7</f>
        <v/>
      </c>
      <c r="J7" s="6" t="inlineStr">
        <is>
          <t>тип и посадочные размеры уточнить по паспорту изделия</t>
        </is>
      </c>
    </row>
    <row r="8">
      <c r="A8" s="6" t="inlineStr">
        <is>
          <t>Внутренняя герметичная дверь</t>
        </is>
      </c>
      <c r="B8" s="6" t="inlineStr">
        <is>
          <t>шт</t>
        </is>
      </c>
      <c r="C8" s="6" t="n">
        <v>1</v>
      </c>
      <c r="D8" s="6" t="n">
        <v>15000</v>
      </c>
      <c r="E8" s="6" t="n">
        <v>28000</v>
      </c>
      <c r="F8" s="6" t="n">
        <v>45000</v>
      </c>
      <c r="G8" s="6">
        <f>C8*D8</f>
        <v/>
      </c>
      <c r="H8" s="6">
        <f>C8*E8</f>
        <v/>
      </c>
      <c r="I8" s="6">
        <f>C8*F8</f>
        <v/>
      </c>
      <c r="J8" s="6" t="inlineStr">
        <is>
          <t>тип уточнить по паспорту изделия</t>
        </is>
      </c>
    </row>
    <row r="9">
      <c r="A9" s="6" t="inlineStr">
        <is>
          <t>Металлическая рамка + крышка люка 800х800</t>
        </is>
      </c>
      <c r="B9" s="6" t="inlineStr">
        <is>
          <t>компл</t>
        </is>
      </c>
      <c r="C9" s="6" t="n">
        <v>1</v>
      </c>
      <c r="D9" s="6" t="n">
        <v>7000</v>
      </c>
      <c r="E9" s="6" t="n">
        <v>12000</v>
      </c>
      <c r="F9" s="6" t="n">
        <v>18000</v>
      </c>
      <c r="G9" s="6">
        <f>C9*D9</f>
        <v/>
      </c>
      <c r="H9" s="6">
        <f>C9*E9</f>
        <v/>
      </c>
      <c r="I9" s="6">
        <f>C9*F9</f>
        <v/>
      </c>
      <c r="J9" s="6" t="inlineStr">
        <is>
          <t>тип уточнить по паспорту</t>
        </is>
      </c>
    </row>
    <row r="10">
      <c r="A10" s="6" t="inlineStr">
        <is>
          <t>Закладные детали и герметизация проёмов</t>
        </is>
      </c>
      <c r="B10" s="6" t="inlineStr">
        <is>
          <t>компл</t>
        </is>
      </c>
      <c r="C10" s="6" t="n">
        <v>1</v>
      </c>
      <c r="D10" s="6" t="n">
        <v>3000</v>
      </c>
      <c r="E10" s="6" t="n">
        <v>5000</v>
      </c>
      <c r="F10" s="6" t="n">
        <v>7000</v>
      </c>
      <c r="G10" s="6">
        <f>C10*D10</f>
        <v/>
      </c>
      <c r="H10" s="6">
        <f>C10*E10</f>
        <v/>
      </c>
      <c r="I10" s="6">
        <f>C10*F10</f>
        <v/>
      </c>
      <c r="J10" s="6" t="inlineStr"/>
    </row>
    <row r="11">
      <c r="A11" s="7" t="inlineStr">
        <is>
          <t>ИТОГО</t>
        </is>
      </c>
      <c r="B11" s="6" t="n"/>
      <c r="C11" s="6" t="n"/>
      <c r="D11" s="6" t="n"/>
      <c r="E11" s="6" t="n"/>
      <c r="F11" s="6" t="n"/>
      <c r="G11" s="7">
        <f>SUM(G7:G10)</f>
        <v/>
      </c>
      <c r="H11" s="7">
        <f>SUM(H7:H10)</f>
        <v/>
      </c>
      <c r="I11" s="7">
        <f>SUM(I7:I10)</f>
        <v/>
      </c>
      <c r="J11" s="6" t="n"/>
    </row>
  </sheetData>
  <mergeCells count="1">
    <mergeCell ref="A1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22" customWidth="1" min="8" max="8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2" t="inlineStr">
        <is>
          <t>Количество людей</t>
        </is>
      </c>
      <c r="B6">
        <f>'Исходные данные'!C20</f>
        <v/>
      </c>
    </row>
    <row r="7">
      <c r="A7" s="2" t="inlineStr">
        <is>
          <t>Норма воздухообмена на 1 чел., м3/ч (мин-макс)</t>
        </is>
      </c>
      <c r="B7" t="n">
        <v>15</v>
      </c>
      <c r="C7" t="n">
        <v>25</v>
      </c>
    </row>
    <row r="8">
      <c r="A8" s="2" t="inlineStr">
        <is>
          <t>Требуемый воздухообмен, м3/ч (мин-макс)</t>
        </is>
      </c>
      <c r="B8">
        <f>B7*B6</f>
        <v/>
      </c>
      <c r="C8">
        <f>C7*B6</f>
        <v/>
      </c>
    </row>
    <row r="10">
      <c r="A10" s="3" t="inlineStr">
        <is>
          <t>Вариант</t>
        </is>
      </c>
      <c r="B10" s="3" t="inlineStr">
        <is>
          <t>Оборудование</t>
        </is>
      </c>
      <c r="C10" s="3" t="inlineStr">
        <is>
          <t>Мощность</t>
        </is>
      </c>
      <c r="D10" s="3" t="inlineStr">
        <is>
          <t>LOW, грн</t>
        </is>
      </c>
      <c r="E10" s="3" t="inlineStr">
        <is>
          <t>REALISTIC, грн</t>
        </is>
      </c>
      <c r="F10" s="3" t="inlineStr">
        <is>
          <t>HIGH, грн</t>
        </is>
      </c>
      <c r="G10" s="3" t="inlineStr">
        <is>
          <t>Плюсы</t>
        </is>
      </c>
      <c r="H10" s="3" t="inlineStr">
        <is>
          <t>Минусы</t>
        </is>
      </c>
    </row>
    <row r="11">
      <c r="A11" s="6" t="inlineStr">
        <is>
          <t>A. Базовая принудительная</t>
        </is>
      </c>
      <c r="B11" s="6" t="inlineStr">
        <is>
          <t>приточно-вытяжные вентиляторы, обратные клапаны, фильтр G4, ручной резерв</t>
        </is>
      </c>
      <c r="C11" s="6" t="inlineStr">
        <is>
          <t>~60-100 м3/ч, ~40-80 Вт</t>
        </is>
      </c>
      <c r="D11" s="6" t="n">
        <v>35000</v>
      </c>
      <c r="E11" s="6" t="n">
        <v>80000</v>
      </c>
      <c r="F11" s="6" t="n">
        <v>80000</v>
      </c>
      <c r="G11" s="6" t="inlineStr">
        <is>
          <t>просто, недорого</t>
        </is>
      </c>
      <c r="H11" s="6" t="inlineStr">
        <is>
          <t>нет защиты от ОВ/пыли/дыма</t>
        </is>
      </c>
    </row>
    <row r="12">
      <c r="A12" s="6" t="inlineStr">
        <is>
          <t>B. Специализир. ФВУ</t>
        </is>
      </c>
      <c r="B12" s="6" t="inlineStr">
        <is>
          <t>фильтровентиляционная установка, противовзрывные клапаны, фильтр аэрозоль+сорбция</t>
        </is>
      </c>
      <c r="C12" s="6" t="inlineStr">
        <is>
          <t>~100-150 м3/ч, ~80-150 Вт</t>
        </is>
      </c>
      <c r="D12" s="6" t="n">
        <v>80000</v>
      </c>
      <c r="E12" s="6" t="n">
        <v>80000</v>
      </c>
      <c r="F12" s="6" t="n">
        <v>220000</v>
      </c>
      <c r="G12" s="6" t="inlineStr">
        <is>
          <t>выше защита воздуха</t>
        </is>
      </c>
      <c r="H12" s="6" t="inlineStr">
        <is>
          <t>дороже, сложнее</t>
        </is>
      </c>
    </row>
    <row r="14">
      <c r="A14" t="inlineStr">
        <is>
          <t>Обязательно во всех вариантах: датчик CO2, датчик CO, дымовой датчик, ручной резервный привод.</t>
        </is>
      </c>
    </row>
  </sheetData>
  <mergeCells count="1">
    <mergeCell ref="A1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Наименование</t>
        </is>
      </c>
      <c r="B6" s="3" t="inlineStr">
        <is>
          <t>Ед.</t>
        </is>
      </c>
      <c r="C6" s="3" t="inlineStr">
        <is>
          <t>Кол-во</t>
        </is>
      </c>
      <c r="D6" s="3" t="inlineStr">
        <is>
          <t>LOW цена/ед</t>
        </is>
      </c>
      <c r="E6" s="3" t="inlineStr">
        <is>
          <t>REALISTIC цена/ед</t>
        </is>
      </c>
      <c r="F6" s="3" t="inlineStr">
        <is>
          <t>HIGH цена/ед</t>
        </is>
      </c>
      <c r="G6" s="3" t="inlineStr">
        <is>
          <t>LOW сумма</t>
        </is>
      </c>
      <c r="H6" s="3" t="inlineStr">
        <is>
          <t>REALISTIC сумма</t>
        </is>
      </c>
      <c r="I6" s="3" t="inlineStr">
        <is>
          <t>HIGH сумма</t>
        </is>
      </c>
      <c r="J6" s="3" t="inlineStr">
        <is>
          <t>Примечание</t>
        </is>
      </c>
    </row>
    <row r="7">
      <c r="A7" s="6" t="inlineStr">
        <is>
          <t>Ввод 230В, вводной автомат, УЗО</t>
        </is>
      </c>
      <c r="B7" s="6" t="inlineStr">
        <is>
          <t>компл</t>
        </is>
      </c>
      <c r="C7" s="6" t="n">
        <v>1</v>
      </c>
      <c r="D7" s="6" t="n">
        <v>8000</v>
      </c>
      <c r="E7" s="6" t="n">
        <v>12000</v>
      </c>
      <c r="F7" s="6" t="n">
        <v>18000</v>
      </c>
      <c r="G7" s="6">
        <f>C7*D7</f>
        <v/>
      </c>
      <c r="H7" s="6">
        <f>C7*E7</f>
        <v/>
      </c>
      <c r="I7" s="6">
        <f>C7*F7</f>
        <v/>
      </c>
      <c r="J7" s="6" t="inlineStr"/>
    </row>
    <row r="8">
      <c r="A8" s="6" t="inlineStr">
        <is>
          <t>Электрощит в сборе (автоматы, УЗО линий)</t>
        </is>
      </c>
      <c r="B8" s="6" t="inlineStr">
        <is>
          <t>компл</t>
        </is>
      </c>
      <c r="C8" s="6" t="n">
        <v>1</v>
      </c>
      <c r="D8" s="6" t="n">
        <v>7000</v>
      </c>
      <c r="E8" s="6" t="n">
        <v>12000</v>
      </c>
      <c r="F8" s="6" t="n">
        <v>20000</v>
      </c>
      <c r="G8" s="6">
        <f>C8*D8</f>
        <v/>
      </c>
      <c r="H8" s="6">
        <f>C8*E8</f>
        <v/>
      </c>
      <c r="I8" s="6">
        <f>C8*F8</f>
        <v/>
      </c>
      <c r="J8" s="6" t="inlineStr"/>
    </row>
    <row r="9">
      <c r="A9" s="6" t="inlineStr">
        <is>
          <t>Кабельная разводка (силовая+освещение)</t>
        </is>
      </c>
      <c r="B9" s="6" t="inlineStr">
        <is>
          <t>компл</t>
        </is>
      </c>
      <c r="C9" s="6" t="n">
        <v>1</v>
      </c>
      <c r="D9" s="6" t="n">
        <v>10000</v>
      </c>
      <c r="E9" s="6" t="n">
        <v>18000</v>
      </c>
      <c r="F9" s="6" t="n">
        <v>27000</v>
      </c>
      <c r="G9" s="6">
        <f>C9*D9</f>
        <v/>
      </c>
      <c r="H9" s="6">
        <f>C9*E9</f>
        <v/>
      </c>
      <c r="I9" s="6">
        <f>C9*F9</f>
        <v/>
      </c>
      <c r="J9" s="6" t="inlineStr"/>
    </row>
    <row r="10">
      <c r="A10" s="6" t="inlineStr">
        <is>
          <t>LED освещение (основное)</t>
        </is>
      </c>
      <c r="B10" s="6" t="inlineStr">
        <is>
          <t>компл</t>
        </is>
      </c>
      <c r="C10" s="6" t="n">
        <v>1</v>
      </c>
      <c r="D10" s="6" t="n">
        <v>4000</v>
      </c>
      <c r="E10" s="6" t="n">
        <v>7000</v>
      </c>
      <c r="F10" s="6" t="n">
        <v>12000</v>
      </c>
      <c r="G10" s="6">
        <f>C10*D10</f>
        <v/>
      </c>
      <c r="H10" s="6">
        <f>C10*E10</f>
        <v/>
      </c>
      <c r="I10" s="6">
        <f>C10*F10</f>
        <v/>
      </c>
      <c r="J10" s="6" t="inlineStr"/>
    </row>
    <row r="11">
      <c r="A11" s="6" t="inlineStr">
        <is>
          <t>Аварийное освещение (авт. включение)</t>
        </is>
      </c>
      <c r="B11" s="6" t="inlineStr">
        <is>
          <t>компл</t>
        </is>
      </c>
      <c r="C11" s="6" t="n">
        <v>1</v>
      </c>
      <c r="D11" s="6" t="n">
        <v>3000</v>
      </c>
      <c r="E11" s="6" t="n">
        <v>6000</v>
      </c>
      <c r="F11" s="6" t="n">
        <v>10000</v>
      </c>
      <c r="G11" s="6">
        <f>C11*D11</f>
        <v/>
      </c>
      <c r="H11" s="6">
        <f>C11*E11</f>
        <v/>
      </c>
      <c r="I11" s="6">
        <f>C11*F11</f>
        <v/>
      </c>
      <c r="J11" s="6" t="inlineStr"/>
    </row>
    <row r="12">
      <c r="A12" s="6" t="inlineStr">
        <is>
          <t>Розетки + USB-C блоки</t>
        </is>
      </c>
      <c r="B12" s="6" t="inlineStr">
        <is>
          <t>компл</t>
        </is>
      </c>
      <c r="C12" s="6" t="n">
        <v>1</v>
      </c>
      <c r="D12" s="6" t="n">
        <v>3000</v>
      </c>
      <c r="E12" s="6" t="n">
        <v>5000</v>
      </c>
      <c r="F12" s="6" t="n">
        <v>8000</v>
      </c>
      <c r="G12" s="6">
        <f>C12*D12</f>
        <v/>
      </c>
      <c r="H12" s="6">
        <f>C12*E12</f>
        <v/>
      </c>
      <c r="I12" s="6">
        <f>C12*F12</f>
        <v/>
      </c>
      <c r="J12" s="6" t="inlineStr"/>
    </row>
    <row r="13">
      <c r="A13" s="7" t="inlineStr">
        <is>
          <t>ИТОГО</t>
        </is>
      </c>
      <c r="B13" s="6" t="n"/>
      <c r="C13" s="6" t="n"/>
      <c r="D13" s="6" t="n"/>
      <c r="E13" s="6" t="n"/>
      <c r="F13" s="6" t="n"/>
      <c r="G13" s="7">
        <f>SUM(G7:G12)</f>
        <v/>
      </c>
      <c r="H13" s="7">
        <f>SUM(H7:H12)</f>
        <v/>
      </c>
      <c r="I13" s="7">
        <f>SUM(I7:I12)</f>
        <v/>
      </c>
      <c r="J13" s="6" t="n"/>
    </row>
  </sheetData>
  <mergeCells count="1">
    <mergeCell ref="A1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2" t="inlineStr">
        <is>
          <t>Инвертор, кВт</t>
        </is>
      </c>
      <c r="B6" t="n">
        <v>5</v>
      </c>
    </row>
    <row r="7">
      <c r="A7" s="2" t="inlineStr">
        <is>
          <t>АКБ базовый вариант, кВт*ч</t>
        </is>
      </c>
      <c r="B7" t="n">
        <v>5</v>
      </c>
    </row>
    <row r="8">
      <c r="A8" s="2" t="inlineStr">
        <is>
          <t>АКБ расширенный вариант, кВт*ч</t>
        </is>
      </c>
      <c r="B8" t="n">
        <v>10</v>
      </c>
    </row>
    <row r="10">
      <c r="A10" s="3" t="inlineStr">
        <is>
          <t>Потребитель</t>
        </is>
      </c>
      <c r="B10" s="3" t="inlineStr">
        <is>
          <t>Мощность, Вт</t>
        </is>
      </c>
      <c r="C10" s="3" t="inlineStr">
        <is>
          <t>Автономность 5 кВт*ч, ч</t>
        </is>
      </c>
      <c r="D10" s="3" t="inlineStr">
        <is>
          <t>Автономность 10 кВт*ч, ч</t>
        </is>
      </c>
    </row>
    <row r="11">
      <c r="A11" s="6" t="inlineStr">
        <is>
          <t>Вентиляция (вариант A)</t>
        </is>
      </c>
      <c r="B11" s="6" t="n">
        <v>60</v>
      </c>
      <c r="C11" s="6">
        <f>Аккумулятор!B7*1000/B11</f>
        <v/>
      </c>
      <c r="D11" s="6">
        <f>Аккумулятор!B8*1000/B11</f>
        <v/>
      </c>
    </row>
    <row r="12">
      <c r="A12" s="6" t="inlineStr">
        <is>
          <t>Освещение LED</t>
        </is>
      </c>
      <c r="B12" s="6" t="n">
        <v>40</v>
      </c>
      <c r="C12" s="6">
        <f>Аккумулятор!B7*1000/B12</f>
        <v/>
      </c>
      <c r="D12" s="6">
        <f>Аккумулятор!B8*1000/B12</f>
        <v/>
      </c>
    </row>
    <row r="13">
      <c r="A13" s="6" t="inlineStr">
        <is>
          <t>Телефоны (заряд, 4 шт.)</t>
        </is>
      </c>
      <c r="B13" s="6" t="n">
        <v>20</v>
      </c>
      <c r="C13" s="6">
        <f>Аккумулятор!B7*1000/B13</f>
        <v/>
      </c>
      <c r="D13" s="6">
        <f>Аккумулятор!B8*1000/B13</f>
        <v/>
      </c>
    </row>
    <row r="14">
      <c r="A14" s="6" t="inlineStr">
        <is>
          <t>Радиостанция</t>
        </is>
      </c>
      <c r="B14" s="6" t="n">
        <v>15</v>
      </c>
      <c r="C14" s="6">
        <f>Аккумулятор!B7*1000/B14</f>
        <v/>
      </c>
      <c r="D14" s="6">
        <f>Аккумулятор!B8*1000/B14</f>
        <v/>
      </c>
    </row>
    <row r="15">
      <c r="A15" s="6" t="inlineStr">
        <is>
          <t>Небольшой насос (циклично, ср.)</t>
        </is>
      </c>
      <c r="B15" s="6" t="n">
        <v>80</v>
      </c>
      <c r="C15" s="6">
        <f>Аккумулятор!B7*1000/B15</f>
        <v/>
      </c>
      <c r="D15" s="6">
        <f>Аккумулятор!B8*1000/B15</f>
        <v/>
      </c>
    </row>
    <row r="17">
      <c r="A17" t="inlineStr">
        <is>
          <t>Примечание: автономность указана отдельно по каждому потребителю (не суммарно).</t>
        </is>
      </c>
    </row>
    <row r="19">
      <c r="A19" s="3" t="inlineStr">
        <is>
          <t>Позиция</t>
        </is>
      </c>
      <c r="B19" s="3" t="inlineStr">
        <is>
          <t>LOW, грн</t>
        </is>
      </c>
      <c r="C19" s="3" t="inlineStr">
        <is>
          <t>REALISTIC, грн</t>
        </is>
      </c>
      <c r="D19" s="3" t="inlineStr">
        <is>
          <t>HIGH, грн</t>
        </is>
      </c>
    </row>
    <row r="20">
      <c r="A20" s="6" t="inlineStr">
        <is>
          <t>Гибридный инвертор 5 кВт</t>
        </is>
      </c>
      <c r="B20" s="6" t="n">
        <v>32000</v>
      </c>
      <c r="C20" s="6" t="n">
        <v>45000</v>
      </c>
      <c r="D20" s="6" t="n">
        <v>62000</v>
      </c>
    </row>
    <row r="21">
      <c r="A21" s="6" t="inlineStr">
        <is>
          <t>АКБ 5 кВт*ч (базовый)</t>
        </is>
      </c>
      <c r="B21" s="6" t="n">
        <v>45000</v>
      </c>
      <c r="C21" s="6" t="n">
        <v>65000</v>
      </c>
      <c r="D21" s="6" t="n">
        <v>95000</v>
      </c>
    </row>
    <row r="22">
      <c r="A22" s="6" t="inlineStr">
        <is>
          <t>АКБ 10 кВт*ч (расширенный, отдельный расчёт)</t>
        </is>
      </c>
      <c r="B22" s="6" t="n">
        <v>72000</v>
      </c>
      <c r="C22" s="6" t="n">
        <v>115000</v>
      </c>
      <c r="D22" s="6" t="n">
        <v>165000</v>
      </c>
    </row>
  </sheetData>
  <mergeCells count="1">
    <mergeCell ref="A1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2" t="inlineStr">
        <is>
          <t>Норма питья, л/чел/сутки</t>
        </is>
      </c>
      <c r="B6" t="n">
        <v>3</v>
      </c>
    </row>
    <row r="7">
      <c r="A7" s="2" t="inlineStr">
        <is>
          <t>Дней автономности</t>
        </is>
      </c>
      <c r="B7" t="n">
        <v>3</v>
      </c>
    </row>
    <row r="8">
      <c r="A8" s="2" t="inlineStr">
        <is>
          <t>Минимальный запас, л (=норма x чел x дней)</t>
        </is>
      </c>
      <c r="B8">
        <f>Вода!B6*'Исходные данные'!C20*Вода!B7</f>
        <v/>
      </c>
    </row>
    <row r="9">
      <c r="A9" s="2" t="inlineStr">
        <is>
          <t>Практический запас, л</t>
        </is>
      </c>
      <c r="B9" t="n">
        <v>100</v>
      </c>
    </row>
    <row r="10">
      <c r="A10" s="2" t="inlineStr">
        <is>
          <t>Предпочтительный запас, л (диапазон)</t>
        </is>
      </c>
      <c r="B10" t="n">
        <v>150</v>
      </c>
      <c r="C10" t="n">
        <v>200</v>
      </c>
    </row>
    <row r="12">
      <c r="A12" s="3" t="inlineStr">
        <is>
          <t>Наименование</t>
        </is>
      </c>
      <c r="B12" s="3" t="inlineStr">
        <is>
          <t>Ед.</t>
        </is>
      </c>
      <c r="C12" s="3" t="inlineStr">
        <is>
          <t>Кол-во</t>
        </is>
      </c>
      <c r="D12" s="3" t="inlineStr">
        <is>
          <t>LOW цена/ед</t>
        </is>
      </c>
      <c r="E12" s="3" t="inlineStr">
        <is>
          <t>REALISTIC цена/ед</t>
        </is>
      </c>
      <c r="F12" s="3" t="inlineStr">
        <is>
          <t>HIGH цена/ед</t>
        </is>
      </c>
      <c r="G12" s="3" t="inlineStr">
        <is>
          <t>LOW сумма</t>
        </is>
      </c>
      <c r="H12" s="3" t="inlineStr">
        <is>
          <t>REALISTIC сумма</t>
        </is>
      </c>
      <c r="I12" s="3" t="inlineStr">
        <is>
          <t>HIGH сумма</t>
        </is>
      </c>
      <c r="J12" s="3" t="inlineStr">
        <is>
          <t>Примечание</t>
        </is>
      </c>
    </row>
    <row r="13">
      <c r="A13" s="6" t="inlineStr">
        <is>
          <t>Пищевая ёмкость 150-200л + кран</t>
        </is>
      </c>
      <c r="B13" s="6" t="inlineStr">
        <is>
          <t>компл</t>
        </is>
      </c>
      <c r="C13" s="6" t="n">
        <v>1</v>
      </c>
      <c r="D13" s="6" t="n">
        <v>3000</v>
      </c>
      <c r="E13" s="6" t="n">
        <v>5000</v>
      </c>
      <c r="F13" s="6" t="n">
        <v>9000</v>
      </c>
      <c r="G13" s="6">
        <f>C13*D13</f>
        <v/>
      </c>
      <c r="H13" s="6">
        <f>C13*E13</f>
        <v/>
      </c>
      <c r="I13" s="6">
        <f>C13*F13</f>
        <v/>
      </c>
      <c r="J13" s="6" t="inlineStr"/>
    </row>
    <row r="14">
      <c r="A14" s="6" t="inlineStr">
        <is>
          <t>Небольшой насос</t>
        </is>
      </c>
      <c r="B14" s="6" t="inlineStr">
        <is>
          <t>шт</t>
        </is>
      </c>
      <c r="C14" s="6" t="n">
        <v>1</v>
      </c>
      <c r="D14" s="6" t="n">
        <v>2000</v>
      </c>
      <c r="E14" s="6" t="n">
        <v>4000</v>
      </c>
      <c r="F14" s="6" t="n">
        <v>7000</v>
      </c>
      <c r="G14" s="6">
        <f>C14*D14</f>
        <v/>
      </c>
      <c r="H14" s="6">
        <f>C14*E14</f>
        <v/>
      </c>
      <c r="I14" s="6">
        <f>C14*F14</f>
        <v/>
      </c>
      <c r="J14" s="6" t="inlineStr"/>
    </row>
    <row r="15">
      <c r="A15" s="6" t="inlineStr">
        <is>
          <t>Канистры питьевой воды (НЗ)</t>
        </is>
      </c>
      <c r="B15" s="6" t="inlineStr">
        <is>
          <t>компл</t>
        </is>
      </c>
      <c r="C15" s="6" t="n">
        <v>1</v>
      </c>
      <c r="D15" s="6" t="n">
        <v>1500</v>
      </c>
      <c r="E15" s="6" t="n">
        <v>3000</v>
      </c>
      <c r="F15" s="6" t="n">
        <v>5000</v>
      </c>
      <c r="G15" s="6">
        <f>C15*D15</f>
        <v/>
      </c>
      <c r="H15" s="6">
        <f>C15*E15</f>
        <v/>
      </c>
      <c r="I15" s="6">
        <f>C15*F15</f>
        <v/>
      </c>
      <c r="J15" s="6" t="inlineStr"/>
    </row>
    <row r="16">
      <c r="A16" s="6" t="inlineStr">
        <is>
          <t>Ручной резерв (помпа/самотёк)</t>
        </is>
      </c>
      <c r="B16" s="6" t="inlineStr">
        <is>
          <t>компл</t>
        </is>
      </c>
      <c r="C16" s="6" t="n">
        <v>1</v>
      </c>
      <c r="D16" s="6" t="n">
        <v>1500</v>
      </c>
      <c r="E16" s="6" t="n">
        <v>3000</v>
      </c>
      <c r="F16" s="6" t="n">
        <v>5000</v>
      </c>
      <c r="G16" s="6">
        <f>C16*D16</f>
        <v/>
      </c>
      <c r="H16" s="6">
        <f>C16*E16</f>
        <v/>
      </c>
      <c r="I16" s="6">
        <f>C16*F16</f>
        <v/>
      </c>
      <c r="J16" s="6" t="inlineStr"/>
    </row>
    <row r="17">
      <c r="A17" s="7" t="inlineStr">
        <is>
          <t>ИТОГО</t>
        </is>
      </c>
      <c r="B17" s="6" t="n"/>
      <c r="C17" s="6" t="n"/>
      <c r="D17" s="6" t="n"/>
      <c r="E17" s="6" t="n"/>
      <c r="F17" s="6" t="n"/>
      <c r="G17" s="7">
        <f>SUM(G13:G16)</f>
        <v/>
      </c>
      <c r="H17" s="7">
        <f>SUM(H13:H16)</f>
        <v/>
      </c>
      <c r="I17" s="7">
        <f>SUM(I13:I16)</f>
        <v/>
      </c>
      <c r="J17" s="6" t="n"/>
    </row>
  </sheetData>
  <mergeCells count="1">
    <mergeCell ref="A1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Наименование</t>
        </is>
      </c>
      <c r="B6" s="3" t="inlineStr">
        <is>
          <t>Ед.</t>
        </is>
      </c>
      <c r="C6" s="3" t="inlineStr">
        <is>
          <t>Кол-во</t>
        </is>
      </c>
      <c r="D6" s="3" t="inlineStr">
        <is>
          <t>LOW цена/ед</t>
        </is>
      </c>
      <c r="E6" s="3" t="inlineStr">
        <is>
          <t>REALISTIC цена/ед</t>
        </is>
      </c>
      <c r="F6" s="3" t="inlineStr">
        <is>
          <t>HIGH цена/ед</t>
        </is>
      </c>
      <c r="G6" s="3" t="inlineStr">
        <is>
          <t>LOW сумма</t>
        </is>
      </c>
      <c r="H6" s="3" t="inlineStr">
        <is>
          <t>REALISTIC сумма</t>
        </is>
      </c>
      <c r="I6" s="3" t="inlineStr">
        <is>
          <t>HIGH сумма</t>
        </is>
      </c>
      <c r="J6" s="3" t="inlineStr">
        <is>
          <t>Примечание</t>
        </is>
      </c>
    </row>
    <row r="7">
      <c r="A7" s="6" t="inlineStr">
        <is>
          <t>Кассетный/химический биотуалет</t>
        </is>
      </c>
      <c r="B7" s="6" t="inlineStr">
        <is>
          <t>шт</t>
        </is>
      </c>
      <c r="C7" s="6" t="n">
        <v>1</v>
      </c>
      <c r="D7" s="6" t="n">
        <v>3000</v>
      </c>
      <c r="E7" s="6" t="n">
        <v>6000</v>
      </c>
      <c r="F7" s="6" t="n">
        <v>10000</v>
      </c>
      <c r="G7" s="6">
        <f>C7*D7</f>
        <v/>
      </c>
      <c r="H7" s="6">
        <f>C7*E7</f>
        <v/>
      </c>
      <c r="I7" s="6">
        <f>C7*F7</f>
        <v/>
      </c>
      <c r="J7" s="6" t="inlineStr"/>
    </row>
    <row r="8">
      <c r="A8" s="6" t="inlineStr">
        <is>
          <t>Санитарная перегородка</t>
        </is>
      </c>
      <c r="B8" s="6" t="inlineStr">
        <is>
          <t>компл</t>
        </is>
      </c>
      <c r="C8" s="6" t="n">
        <v>1</v>
      </c>
      <c r="D8" s="6" t="n">
        <v>1000</v>
      </c>
      <c r="E8" s="6" t="n">
        <v>2000</v>
      </c>
      <c r="F8" s="6" t="n">
        <v>4000</v>
      </c>
      <c r="G8" s="6">
        <f>C8*D8</f>
        <v/>
      </c>
      <c r="H8" s="6">
        <f>C8*E8</f>
        <v/>
      </c>
      <c r="I8" s="6">
        <f>C8*F8</f>
        <v/>
      </c>
      <c r="J8" s="6" t="inlineStr"/>
    </row>
    <row r="9">
      <c r="A9" s="6" t="inlineStr">
        <is>
          <t>Запас реагента</t>
        </is>
      </c>
      <c r="B9" s="6" t="inlineStr">
        <is>
          <t>компл</t>
        </is>
      </c>
      <c r="C9" s="6" t="n">
        <v>1</v>
      </c>
      <c r="D9" s="6" t="n">
        <v>500</v>
      </c>
      <c r="E9" s="6" t="n">
        <v>1000</v>
      </c>
      <c r="F9" s="6" t="n">
        <v>1500</v>
      </c>
      <c r="G9" s="6">
        <f>C9*D9</f>
        <v/>
      </c>
      <c r="H9" s="6">
        <f>C9*E9</f>
        <v/>
      </c>
      <c r="I9" s="6">
        <f>C9*F9</f>
        <v/>
      </c>
      <c r="J9" s="6" t="inlineStr"/>
    </row>
    <row r="10">
      <c r="A10" s="6" t="inlineStr">
        <is>
          <t>Пакеты для биотуалета (запас)</t>
        </is>
      </c>
      <c r="B10" s="6" t="inlineStr">
        <is>
          <t>компл</t>
        </is>
      </c>
      <c r="C10" s="6" t="n">
        <v>1</v>
      </c>
      <c r="D10" s="6" t="n">
        <v>300</v>
      </c>
      <c r="E10" s="6" t="n">
        <v>500</v>
      </c>
      <c r="F10" s="6" t="n">
        <v>1000</v>
      </c>
      <c r="G10" s="6">
        <f>C10*D10</f>
        <v/>
      </c>
      <c r="H10" s="6">
        <f>C10*E10</f>
        <v/>
      </c>
      <c r="I10" s="6">
        <f>C10*F10</f>
        <v/>
      </c>
      <c r="J10" s="6" t="inlineStr"/>
    </row>
    <row r="11">
      <c r="A11" s="6" t="inlineStr">
        <is>
          <t>Дезинфицирующие средства</t>
        </is>
      </c>
      <c r="B11" s="6" t="inlineStr">
        <is>
          <t>компл</t>
        </is>
      </c>
      <c r="C11" s="6" t="n">
        <v>1</v>
      </c>
      <c r="D11" s="6" t="n">
        <v>200</v>
      </c>
      <c r="E11" s="6" t="n">
        <v>500</v>
      </c>
      <c r="F11" s="6" t="n">
        <v>1500</v>
      </c>
      <c r="G11" s="6">
        <f>C11*D11</f>
        <v/>
      </c>
      <c r="H11" s="6">
        <f>C11*E11</f>
        <v/>
      </c>
      <c r="I11" s="6">
        <f>C11*F11</f>
        <v/>
      </c>
      <c r="J11" s="6" t="inlineStr"/>
    </row>
    <row r="12">
      <c r="A12" s="7" t="inlineStr">
        <is>
          <t>ИТОГО</t>
        </is>
      </c>
      <c r="B12" s="6" t="n"/>
      <c r="C12" s="6" t="n"/>
      <c r="D12" s="6" t="n"/>
      <c r="E12" s="6" t="n"/>
      <c r="F12" s="6" t="n"/>
      <c r="G12" s="7">
        <f>SUM(G7:G11)</f>
        <v/>
      </c>
      <c r="H12" s="7">
        <f>SUM(H7:H11)</f>
        <v/>
      </c>
      <c r="I12" s="7">
        <f>SUM(I7:I11)</f>
        <v/>
      </c>
      <c r="J12" s="6" t="n"/>
    </row>
  </sheetData>
  <mergeCells count="1">
    <mergeCell ref="A1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Наименование</t>
        </is>
      </c>
      <c r="B6" s="3" t="inlineStr">
        <is>
          <t>Ед.</t>
        </is>
      </c>
      <c r="C6" s="3" t="inlineStr">
        <is>
          <t>Кол-во</t>
        </is>
      </c>
      <c r="D6" s="3" t="inlineStr">
        <is>
          <t>LOW цена/ед</t>
        </is>
      </c>
      <c r="E6" s="3" t="inlineStr">
        <is>
          <t>REALISTIC цена/ед</t>
        </is>
      </c>
      <c r="F6" s="3" t="inlineStr">
        <is>
          <t>HIGH цена/ед</t>
        </is>
      </c>
      <c r="G6" s="3" t="inlineStr">
        <is>
          <t>LOW сумма</t>
        </is>
      </c>
      <c r="H6" s="3" t="inlineStr">
        <is>
          <t>REALISTIC сумма</t>
        </is>
      </c>
      <c r="I6" s="3" t="inlineStr">
        <is>
          <t>HIGH сумма</t>
        </is>
      </c>
      <c r="J6" s="3" t="inlineStr">
        <is>
          <t>Примечание</t>
        </is>
      </c>
    </row>
    <row r="7">
      <c r="A7" s="6" t="inlineStr">
        <is>
          <t>2х-ярусная металлическая кровать</t>
        </is>
      </c>
      <c r="B7" s="6" t="inlineStr">
        <is>
          <t>шт</t>
        </is>
      </c>
      <c r="C7" s="6" t="n">
        <v>2</v>
      </c>
      <c r="D7" s="6" t="n">
        <v>6000</v>
      </c>
      <c r="E7" s="6" t="n">
        <v>10000</v>
      </c>
      <c r="F7" s="6" t="n">
        <v>17000</v>
      </c>
      <c r="G7" s="6">
        <f>C7*D7</f>
        <v/>
      </c>
      <c r="H7" s="6">
        <f>C7*E7</f>
        <v/>
      </c>
      <c r="I7" s="6">
        <f>C7*F7</f>
        <v/>
      </c>
      <c r="J7" s="6" t="inlineStr">
        <is>
          <t>альт.: 4 складные койки</t>
        </is>
      </c>
    </row>
    <row r="8">
      <c r="A8" s="6" t="inlineStr">
        <is>
          <t>Стол / место отдыха</t>
        </is>
      </c>
      <c r="B8" s="6" t="inlineStr">
        <is>
          <t>шт</t>
        </is>
      </c>
      <c r="C8" s="6" t="n">
        <v>1</v>
      </c>
      <c r="D8" s="6" t="n">
        <v>2000</v>
      </c>
      <c r="E8" s="6" t="n">
        <v>4000</v>
      </c>
      <c r="F8" s="6" t="n">
        <v>7000</v>
      </c>
      <c r="G8" s="6">
        <f>C8*D8</f>
        <v/>
      </c>
      <c r="H8" s="6">
        <f>C8*E8</f>
        <v/>
      </c>
      <c r="I8" s="6">
        <f>C8*F8</f>
        <v/>
      </c>
      <c r="J8" s="6" t="inlineStr"/>
    </row>
    <row r="9">
      <c r="A9" s="6" t="inlineStr">
        <is>
          <t>Металлические стеллажи</t>
        </is>
      </c>
      <c r="B9" s="6" t="inlineStr">
        <is>
          <t>шт</t>
        </is>
      </c>
      <c r="C9" s="6" t="n">
        <v>2</v>
      </c>
      <c r="D9" s="6" t="n">
        <v>2000</v>
      </c>
      <c r="E9" s="6" t="n">
        <v>3500</v>
      </c>
      <c r="F9" s="6" t="n">
        <v>6000</v>
      </c>
      <c r="G9" s="6">
        <f>C9*D9</f>
        <v/>
      </c>
      <c r="H9" s="6">
        <f>C9*E9</f>
        <v/>
      </c>
      <c r="I9" s="6">
        <f>C9*F9</f>
        <v/>
      </c>
      <c r="J9" s="6" t="inlineStr"/>
    </row>
    <row r="10">
      <c r="A10" s="6" t="inlineStr">
        <is>
          <t>Аптечка</t>
        </is>
      </c>
      <c r="B10" s="6" t="inlineStr">
        <is>
          <t>компл</t>
        </is>
      </c>
      <c r="C10" s="6" t="n">
        <v>1</v>
      </c>
      <c r="D10" s="6" t="n">
        <v>1500</v>
      </c>
      <c r="E10" s="6" t="n">
        <v>3000</v>
      </c>
      <c r="F10" s="6" t="n">
        <v>6000</v>
      </c>
      <c r="G10" s="6">
        <f>C10*D10</f>
        <v/>
      </c>
      <c r="H10" s="6">
        <f>C10*E10</f>
        <v/>
      </c>
      <c r="I10" s="6">
        <f>C10*F10</f>
        <v/>
      </c>
      <c r="J10" s="6" t="inlineStr"/>
    </row>
    <row r="11">
      <c r="A11" s="6" t="inlineStr">
        <is>
          <t>Огнетушители</t>
        </is>
      </c>
      <c r="B11" s="6" t="inlineStr">
        <is>
          <t>шт</t>
        </is>
      </c>
      <c r="C11" s="6" t="n">
        <v>2</v>
      </c>
      <c r="D11" s="6" t="n">
        <v>1000</v>
      </c>
      <c r="E11" s="6" t="n">
        <v>1500</v>
      </c>
      <c r="F11" s="6" t="n">
        <v>2500</v>
      </c>
      <c r="G11" s="6">
        <f>C11*D11</f>
        <v/>
      </c>
      <c r="H11" s="6">
        <f>C11*E11</f>
        <v/>
      </c>
      <c r="I11" s="6">
        <f>C11*F11</f>
        <v/>
      </c>
      <c r="J11" s="6" t="inlineStr"/>
    </row>
    <row r="12">
      <c r="A12" s="6" t="inlineStr">
        <is>
          <t>Инструменты (набор)</t>
        </is>
      </c>
      <c r="B12" s="6" t="inlineStr">
        <is>
          <t>компл</t>
        </is>
      </c>
      <c r="C12" s="6" t="n">
        <v>1</v>
      </c>
      <c r="D12" s="6" t="n">
        <v>3000</v>
      </c>
      <c r="E12" s="6" t="n">
        <v>6000</v>
      </c>
      <c r="F12" s="6" t="n">
        <v>10000</v>
      </c>
      <c r="G12" s="6">
        <f>C12*D12</f>
        <v/>
      </c>
      <c r="H12" s="6">
        <f>C12*E12</f>
        <v/>
      </c>
      <c r="I12" s="6">
        <f>C12*F12</f>
        <v/>
      </c>
      <c r="J12" s="6" t="inlineStr"/>
    </row>
    <row r="13">
      <c r="A13" s="6" t="inlineStr">
        <is>
          <t>Средства связи (радиостанция)</t>
        </is>
      </c>
      <c r="B13" s="6" t="inlineStr">
        <is>
          <t>шт</t>
        </is>
      </c>
      <c r="C13" s="6" t="n">
        <v>1</v>
      </c>
      <c r="D13" s="6" t="n">
        <v>2000</v>
      </c>
      <c r="E13" s="6" t="n">
        <v>4000</v>
      </c>
      <c r="F13" s="6" t="n">
        <v>8000</v>
      </c>
      <c r="G13" s="6">
        <f>C13*D13</f>
        <v/>
      </c>
      <c r="H13" s="6">
        <f>C13*E13</f>
        <v/>
      </c>
      <c r="I13" s="6">
        <f>C13*F13</f>
        <v/>
      </c>
      <c r="J13" s="6" t="inlineStr"/>
    </row>
    <row r="14">
      <c r="A14" s="6" t="inlineStr">
        <is>
          <t>Датчик CO2</t>
        </is>
      </c>
      <c r="B14" s="6" t="inlineStr">
        <is>
          <t>шт</t>
        </is>
      </c>
      <c r="C14" s="6" t="n">
        <v>1</v>
      </c>
      <c r="D14" s="6" t="n">
        <v>2000</v>
      </c>
      <c r="E14" s="6" t="n">
        <v>4000</v>
      </c>
      <c r="F14" s="6" t="n">
        <v>7000</v>
      </c>
      <c r="G14" s="6">
        <f>C14*D14</f>
        <v/>
      </c>
      <c r="H14" s="6">
        <f>C14*E14</f>
        <v/>
      </c>
      <c r="I14" s="6">
        <f>C14*F14</f>
        <v/>
      </c>
      <c r="J14" s="6" t="inlineStr"/>
    </row>
    <row r="15">
      <c r="A15" s="6" t="inlineStr">
        <is>
          <t>Датчик CO</t>
        </is>
      </c>
      <c r="B15" s="6" t="inlineStr">
        <is>
          <t>шт</t>
        </is>
      </c>
      <c r="C15" s="6" t="n">
        <v>1</v>
      </c>
      <c r="D15" s="6" t="n">
        <v>1500</v>
      </c>
      <c r="E15" s="6" t="n">
        <v>3000</v>
      </c>
      <c r="F15" s="6" t="n">
        <v>6000</v>
      </c>
      <c r="G15" s="6">
        <f>C15*D15</f>
        <v/>
      </c>
      <c r="H15" s="6">
        <f>C15*E15</f>
        <v/>
      </c>
      <c r="I15" s="6">
        <f>C15*F15</f>
        <v/>
      </c>
      <c r="J15" s="6" t="inlineStr"/>
    </row>
    <row r="16">
      <c r="A16" s="6" t="inlineStr">
        <is>
          <t>Дымовой датчик</t>
        </is>
      </c>
      <c r="B16" s="6" t="inlineStr">
        <is>
          <t>шт</t>
        </is>
      </c>
      <c r="C16" s="6" t="n">
        <v>1</v>
      </c>
      <c r="D16" s="6" t="n">
        <v>500</v>
      </c>
      <c r="E16" s="6" t="n">
        <v>1000</v>
      </c>
      <c r="F16" s="6" t="n">
        <v>2000</v>
      </c>
      <c r="G16" s="6">
        <f>C16*D16</f>
        <v/>
      </c>
      <c r="H16" s="6">
        <f>C16*E16</f>
        <v/>
      </c>
      <c r="I16" s="6">
        <f>C16*F16</f>
        <v/>
      </c>
      <c r="J16" s="6" t="inlineStr"/>
    </row>
    <row r="17">
      <c r="A17" s="7" t="inlineStr">
        <is>
          <t>ИТОГО</t>
        </is>
      </c>
      <c r="B17" s="6" t="n"/>
      <c r="C17" s="6" t="n"/>
      <c r="D17" s="6" t="n"/>
      <c r="E17" s="6" t="n"/>
      <c r="F17" s="6" t="n"/>
      <c r="G17" s="7">
        <f>SUM(G7:G16)</f>
        <v/>
      </c>
      <c r="H17" s="7">
        <f>SUM(H7:H16)</f>
        <v/>
      </c>
      <c r="I17" s="7">
        <f>SUM(I7:I16)</f>
        <v/>
      </c>
      <c r="J17" s="6" t="n"/>
    </row>
  </sheetData>
  <mergeCells count="1">
    <mergeCell ref="A1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№</t>
        </is>
      </c>
      <c r="B6" s="3" t="inlineStr">
        <is>
          <t>Раздел</t>
        </is>
      </c>
      <c r="C6" s="3" t="inlineStr">
        <is>
          <t>LOW, грн</t>
        </is>
      </c>
      <c r="D6" s="3" t="inlineStr">
        <is>
          <t>REALISTIC, грн</t>
        </is>
      </c>
      <c r="E6" s="3" t="inlineStr">
        <is>
          <t>HIGH, грн</t>
        </is>
      </c>
      <c r="F6" s="3" t="inlineStr">
        <is>
          <t>Источник</t>
        </is>
      </c>
    </row>
    <row r="7">
      <c r="A7" s="6" t="inlineStr">
        <is>
          <t>A</t>
        </is>
      </c>
      <c r="B7" s="6" t="inlineStr">
        <is>
          <t>Земляные работы</t>
        </is>
      </c>
      <c r="C7" s="6">
        <f>'Земляные работы'!B18</f>
        <v/>
      </c>
      <c r="D7" s="6">
        <f>'Земляные работы'!C18</f>
        <v/>
      </c>
      <c r="E7" s="6">
        <f>'Земляные работы'!D18</f>
        <v/>
      </c>
      <c r="F7" s="6" t="inlineStr">
        <is>
          <t>Котлован, вывоз/засыпка грунта</t>
        </is>
      </c>
    </row>
    <row r="8">
      <c r="A8" s="6" t="inlineStr">
        <is>
          <t>B</t>
        </is>
      </c>
      <c r="B8" s="6" t="inlineStr">
        <is>
          <t>Бетон</t>
        </is>
      </c>
      <c r="C8" s="6">
        <f>Бетон!D19*4500</f>
        <v/>
      </c>
      <c r="D8" s="6">
        <f>Бетон!D19*6000</f>
        <v/>
      </c>
      <c r="E8" s="6">
        <f>Бетон!D19*8000</f>
        <v/>
      </c>
      <c r="F8" s="6" t="inlineStr">
        <is>
          <t>объём х цена/м3 (LOW 4500 / REAL 6000 / HIGH 8000 грн/м3)</t>
        </is>
      </c>
    </row>
    <row r="9">
      <c r="A9" s="6" t="inlineStr">
        <is>
          <t>C</t>
        </is>
      </c>
      <c r="B9" s="6" t="inlineStr">
        <is>
          <t>Арматура (материал)</t>
        </is>
      </c>
      <c r="C9" s="6">
        <f>Арматура!G29*33000</f>
        <v/>
      </c>
      <c r="D9" s="6">
        <f>Арматура!G29*40000</f>
        <v/>
      </c>
      <c r="E9" s="6">
        <f>Арматура!G29*55000</f>
        <v/>
      </c>
      <c r="F9" s="6" t="inlineStr">
        <is>
          <t>масса х цена/т (LOW 33000 / REAL 40000 / HIGH 55000 грн/т)</t>
        </is>
      </c>
    </row>
    <row r="10">
      <c r="A10" s="6" t="inlineStr">
        <is>
          <t>D</t>
        </is>
      </c>
      <c r="B10" s="6" t="inlineStr">
        <is>
          <t>Опалубка</t>
        </is>
      </c>
      <c r="C10" s="6" t="n">
        <v>63000</v>
      </c>
      <c r="D10" s="6" t="n">
        <v>110000</v>
      </c>
      <c r="E10" s="6" t="n">
        <v>170000</v>
      </c>
      <c r="F10" s="6" t="inlineStr">
        <is>
          <t>Опалубка стен, плит, входного и аварийного узлов (аренда/монтаж/демонтаж)</t>
        </is>
      </c>
    </row>
    <row r="11">
      <c r="A11" s="6" t="inlineStr">
        <is>
          <t>E</t>
        </is>
      </c>
      <c r="B11" s="6" t="inlineStr">
        <is>
          <t>Арматурные работы</t>
        </is>
      </c>
      <c r="C11" s="6" t="n">
        <v>18640</v>
      </c>
      <c r="D11" s="6" t="n">
        <v>32620</v>
      </c>
      <c r="E11" s="6" t="n">
        <v>46600</v>
      </c>
      <c r="F11" s="6" t="inlineStr">
        <is>
          <t>Арматурные работы: заготовка, вязка, монтаж каркасов</t>
        </is>
      </c>
    </row>
    <row r="12">
      <c r="A12" s="6" t="inlineStr">
        <is>
          <t>F</t>
        </is>
      </c>
      <c r="B12" s="6" t="inlineStr">
        <is>
          <t>Бетонирование</t>
        </is>
      </c>
      <c r="C12" s="6" t="n">
        <v>26000</v>
      </c>
      <c r="D12" s="6" t="n">
        <v>45000</v>
      </c>
      <c r="E12" s="6" t="n">
        <v>70000</v>
      </c>
      <c r="F12" s="6" t="inlineStr">
        <is>
          <t>Бетонирование: укладка, уплотнение, уход за бетоном, устройство рабочих швов</t>
        </is>
      </c>
    </row>
    <row r="13">
      <c r="A13" s="6" t="inlineStr">
        <is>
          <t>G</t>
        </is>
      </c>
      <c r="B13" s="6" t="inlineStr">
        <is>
          <t>Насос бетона</t>
        </is>
      </c>
      <c r="C13" s="6" t="n">
        <v>10000</v>
      </c>
      <c r="D13" s="6" t="n">
        <v>18000</v>
      </c>
      <c r="E13" s="6" t="n">
        <v>30000</v>
      </c>
      <c r="F13" s="6" t="inlineStr">
        <is>
          <t>Бетононасос / подача бетона</t>
        </is>
      </c>
    </row>
    <row r="14">
      <c r="A14" s="6" t="inlineStr">
        <is>
          <t>H</t>
        </is>
      </c>
      <c r="B14" s="6" t="inlineStr">
        <is>
          <t>Доставка</t>
        </is>
      </c>
      <c r="C14" s="6" t="n">
        <v>15000</v>
      </c>
      <c r="D14" s="6" t="n">
        <v>25000</v>
      </c>
      <c r="E14" s="6" t="n">
        <v>45000</v>
      </c>
      <c r="F14" s="6" t="inlineStr">
        <is>
          <t>Доставка материалов и техники на объект (Русановские сады)</t>
        </is>
      </c>
    </row>
    <row r="15">
      <c r="A15" s="6" t="inlineStr">
        <is>
          <t>I</t>
        </is>
      </c>
      <c r="B15" s="6" t="inlineStr">
        <is>
          <t>Герметизация швов</t>
        </is>
      </c>
      <c r="C15" s="6" t="n">
        <v>25000</v>
      </c>
      <c r="D15" s="6" t="n">
        <v>50000</v>
      </c>
      <c r="E15" s="6" t="n">
        <v>90000</v>
      </c>
      <c r="F15" s="6" t="inlineStr">
        <is>
          <t>Герметизация швов: гидрошпонки, набухающие шнуры, инъекционные шланги, кристалли</t>
        </is>
      </c>
    </row>
    <row r="16">
      <c r="A16" s="6" t="inlineStr">
        <is>
          <t>J</t>
        </is>
      </c>
      <c r="B16" s="6" t="inlineStr">
        <is>
          <t>Защитные двери</t>
        </is>
      </c>
      <c r="C16" s="6">
        <f>'Двери и люки'!G11</f>
        <v/>
      </c>
      <c r="D16" s="6">
        <f>'Двери и люки'!H11</f>
        <v/>
      </c>
      <c r="E16" s="6">
        <f>'Двери и люки'!I11</f>
        <v/>
      </c>
      <c r="F16" s="6" t="inlineStr">
        <is>
          <t>Защитные двери: 1 наружная защитно-герметичная + 1 внутренняя герметичная (проём</t>
        </is>
      </c>
    </row>
    <row r="17">
      <c r="A17" s="6" t="inlineStr">
        <is>
          <t>K</t>
        </is>
      </c>
      <c r="B17" s="6" t="inlineStr">
        <is>
          <t>Аварийный люк</t>
        </is>
      </c>
      <c r="C17" s="6" t="n">
        <v>15000</v>
      </c>
      <c r="D17" s="6" t="n">
        <v>25000</v>
      </c>
      <c r="E17" s="6" t="n">
        <v>45000</v>
      </c>
      <c r="F17" s="6" t="inlineStr">
        <is>
          <t>Аварийный люк 800х800: металлическая рамка, крышка, герметизация, лестница</t>
        </is>
      </c>
    </row>
    <row r="18">
      <c r="A18" s="6" t="inlineStr">
        <is>
          <t>L</t>
        </is>
      </c>
      <c r="B18" s="6" t="inlineStr">
        <is>
          <t>Вентиляция</t>
        </is>
      </c>
      <c r="C18" s="6" t="n">
        <v>35000</v>
      </c>
      <c r="D18" s="6" t="n">
        <v>80000</v>
      </c>
      <c r="E18" s="6" t="n">
        <v>220000</v>
      </c>
      <c r="F18" s="6" t="inlineStr">
        <is>
          <t>Вентиляция: REALISTIC = вариант A (базовая принудительная); HIGH = вариант B (сп</t>
        </is>
      </c>
    </row>
    <row r="19">
      <c r="A19" s="6" t="inlineStr">
        <is>
          <t>M</t>
        </is>
      </c>
      <c r="B19" s="6" t="inlineStr">
        <is>
          <t>Электрика</t>
        </is>
      </c>
      <c r="C19" s="6">
        <f>'Электрика'!G13</f>
        <v/>
      </c>
      <c r="D19" s="6">
        <f>'Электрика'!H13</f>
        <v/>
      </c>
      <c r="E19" s="6">
        <f>'Электрика'!I13</f>
        <v/>
      </c>
      <c r="F19" s="6" t="inlineStr">
        <is>
          <t xml:space="preserve">Электрика: щит, УЗО, автоматы, кабели, освещение (основное+аварийное), розетки, </t>
        </is>
      </c>
    </row>
    <row r="20">
      <c r="A20" s="6" t="inlineStr">
        <is>
          <t>N</t>
        </is>
      </c>
      <c r="B20" s="6" t="inlineStr">
        <is>
          <t>Инвертор</t>
        </is>
      </c>
      <c r="C20" s="6">
        <f>Аккумулятор!B20</f>
        <v/>
      </c>
      <c r="D20" s="6">
        <f>Аккумулятор!C20</f>
        <v/>
      </c>
      <c r="E20" s="6">
        <f>Аккумулятор!D20</f>
        <v/>
      </c>
      <c r="F20" s="6" t="inlineStr">
        <is>
          <t>Гибридный инвертор 5 кВт</t>
        </is>
      </c>
    </row>
    <row r="21">
      <c r="A21" s="6" t="inlineStr">
        <is>
          <t>O</t>
        </is>
      </c>
      <c r="B21" s="6" t="inlineStr">
        <is>
          <t>Аккумулятор</t>
        </is>
      </c>
      <c r="C21" s="6">
        <f>Аккумулятор!B21</f>
        <v/>
      </c>
      <c r="D21" s="6">
        <f>Аккумулятор!C21</f>
        <v/>
      </c>
      <c r="E21" s="6">
        <f>Аккумулятор!D21</f>
        <v/>
      </c>
      <c r="F21" s="6" t="inlineStr">
        <is>
          <t>Аккумулятор LiFePO4, базовый вариант 5 кВт·ч (вариант 10 кВт·ч — отдельно, см. л</t>
        </is>
      </c>
    </row>
    <row r="22">
      <c r="A22" s="6" t="inlineStr">
        <is>
          <t>P</t>
        </is>
      </c>
      <c r="B22" s="6" t="inlineStr">
        <is>
          <t>Вода</t>
        </is>
      </c>
      <c r="C22" s="6">
        <f>Вода!G17</f>
        <v/>
      </c>
      <c r="D22" s="6">
        <f>Вода!H17</f>
        <v/>
      </c>
      <c r="E22" s="6">
        <f>Вода!I17</f>
        <v/>
      </c>
      <c r="F22" s="6" t="inlineStr">
        <is>
          <t>Водоснабжение: ёмкость(и) ~150–200 л, насос, кран, канистры, ручной резерв</t>
        </is>
      </c>
    </row>
    <row r="23">
      <c r="A23" s="6" t="inlineStr">
        <is>
          <t>Q</t>
        </is>
      </c>
      <c r="B23" s="6" t="inlineStr">
        <is>
          <t>Туалет</t>
        </is>
      </c>
      <c r="C23" s="6">
        <f>'Санитария'!G12</f>
        <v/>
      </c>
      <c r="D23" s="6">
        <f>'Санитария'!H12</f>
        <v/>
      </c>
      <c r="E23" s="6">
        <f>'Санитария'!I12</f>
        <v/>
      </c>
      <c r="F23" s="6" t="inlineStr">
        <is>
          <t>Туалет: кассетный/химический биотуалет, перегородка, реагент, пакеты</t>
        </is>
      </c>
    </row>
    <row r="24">
      <c r="A24" s="6" t="inlineStr">
        <is>
          <t>R</t>
        </is>
      </c>
      <c r="B24" s="6" t="inlineStr">
        <is>
          <t>Спальные места</t>
        </is>
      </c>
      <c r="C24" s="6" t="n">
        <v>12000</v>
      </c>
      <c r="D24" s="6" t="n">
        <v>20000</v>
      </c>
      <c r="E24" s="6" t="n">
        <v>34000</v>
      </c>
      <c r="F24" s="6" t="inlineStr">
        <is>
          <t>Спальные места: 2 двухъярусные металлические кровати (альт. 4 складные койки)</t>
        </is>
      </c>
    </row>
    <row r="25">
      <c r="A25" s="6" t="inlineStr">
        <is>
          <t>S</t>
        </is>
      </c>
      <c r="B25" s="6" t="inlineStr">
        <is>
          <t>Мебель/хранение</t>
        </is>
      </c>
      <c r="C25" s="6" t="n">
        <v>10000</v>
      </c>
      <c r="D25" s="6" t="n">
        <v>20000</v>
      </c>
      <c r="E25" s="6" t="n">
        <v>34000</v>
      </c>
      <c r="F25" s="6" t="inlineStr">
        <is>
          <t>Мебель и хранение: стеллажи, стол, полки</t>
        </is>
      </c>
    </row>
    <row r="26">
      <c r="A26" s="6" t="inlineStr">
        <is>
          <t>T</t>
        </is>
      </c>
      <c r="B26" s="6" t="inlineStr">
        <is>
          <t>Датчики</t>
        </is>
      </c>
      <c r="C26" s="6" t="n">
        <v>6000</v>
      </c>
      <c r="D26" s="6" t="n">
        <v>12000</v>
      </c>
      <c r="E26" s="6" t="n">
        <v>22000</v>
      </c>
      <c r="F26" s="6" t="inlineStr">
        <is>
          <t>Датчики: CO2, CO, дым, температура/влажность</t>
        </is>
      </c>
    </row>
    <row r="27">
      <c r="A27" s="6" t="inlineStr">
        <is>
          <t>U</t>
        </is>
      </c>
      <c r="B27" s="6" t="inlineStr">
        <is>
          <t>Инструменты</t>
        </is>
      </c>
      <c r="C27" s="6" t="n">
        <v>5000</v>
      </c>
      <c r="D27" s="6" t="n">
        <v>9000</v>
      </c>
      <c r="E27" s="6" t="n">
        <v>16000</v>
      </c>
      <c r="F27" s="6" t="inlineStr">
        <is>
          <t>Инструменты, аптечка, огнетушители, средства связи (базовый комплект)</t>
        </is>
      </c>
    </row>
    <row r="28">
      <c r="A28" s="6" t="inlineStr">
        <is>
          <t>V</t>
        </is>
      </c>
      <c r="B28" s="6" t="inlineStr">
        <is>
          <t>Геология</t>
        </is>
      </c>
      <c r="C28" s="6" t="n">
        <v>15000</v>
      </c>
      <c r="D28" s="6" t="n">
        <v>25000</v>
      </c>
      <c r="E28" s="6" t="n">
        <v>42000</v>
      </c>
      <c r="F28" s="6" t="inlineStr">
        <is>
          <t>Инженерно-геологические изыскания (ОБЯЗАТЕЛЬНО перед рабочим проектом)</t>
        </is>
      </c>
    </row>
    <row r="29">
      <c r="A29" s="6" t="inlineStr">
        <is>
          <t>W</t>
        </is>
      </c>
      <c r="B29" s="6" t="inlineStr">
        <is>
          <t>Проект КЖ</t>
        </is>
      </c>
      <c r="C29" s="6" t="n">
        <v>45000</v>
      </c>
      <c r="D29" s="6" t="n">
        <v>75000</v>
      </c>
      <c r="E29" s="6" t="n">
        <v>130000</v>
      </c>
      <c r="F29" s="6" t="inlineStr">
        <is>
          <t>Разработка рабочего проекта КЖ лицензированным инженером-конструктором</t>
        </is>
      </c>
    </row>
    <row r="30">
      <c r="A30" s="6" t="inlineStr">
        <is>
          <t>X</t>
        </is>
      </c>
      <c r="B30" s="6" t="inlineStr">
        <is>
          <t>Технадзор</t>
        </is>
      </c>
      <c r="C30" s="6" t="n">
        <v>18000</v>
      </c>
      <c r="D30" s="6" t="n">
        <v>35000</v>
      </c>
      <c r="E30" s="6" t="n">
        <v>60000</v>
      </c>
      <c r="F30" s="6" t="inlineStr">
        <is>
          <t>Технический и авторский надзор на этапе строительства</t>
        </is>
      </c>
    </row>
    <row r="31">
      <c r="A31" s="6" t="n"/>
      <c r="B31" s="7" t="inlineStr">
        <is>
          <t>ПОДЫТОГ (A-X)</t>
        </is>
      </c>
      <c r="C31" s="7">
        <f>SUM(C7:C30)</f>
        <v/>
      </c>
      <c r="D31" s="7">
        <f>SUM(D7:D30)</f>
        <v/>
      </c>
      <c r="E31" s="7">
        <f>SUM(E7:E30)</f>
        <v/>
      </c>
      <c r="F31" s="6" t="n"/>
    </row>
    <row r="32">
      <c r="A32" s="6" t="inlineStr">
        <is>
          <t>Y</t>
        </is>
      </c>
      <c r="B32" s="7" t="inlineStr">
        <is>
          <t>Резерв на непредвиденное (15%)</t>
        </is>
      </c>
      <c r="C32" s="7">
        <f>C31*0.15</f>
        <v/>
      </c>
      <c r="D32" s="7">
        <f>D31*0.15</f>
        <v/>
      </c>
      <c r="E32" s="7">
        <f>E31*0.15</f>
        <v/>
      </c>
      <c r="F32" s="6" t="n"/>
    </row>
    <row r="33">
      <c r="A33" s="6" t="n"/>
      <c r="B33" s="7" t="inlineStr">
        <is>
          <t>ИТОГО</t>
        </is>
      </c>
      <c r="C33" s="7">
        <f>C31+C32</f>
        <v/>
      </c>
      <c r="D33" s="7">
        <f>D31+D32</f>
        <v/>
      </c>
      <c r="E33" s="7">
        <f>E31+E32</f>
        <v/>
      </c>
      <c r="F33" s="6" t="n"/>
    </row>
  </sheetData>
  <mergeCells count="1">
    <mergeCell ref="A1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0" customWidth="1" min="3" max="3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Позиция</t>
        </is>
      </c>
      <c r="B6" s="3" t="inlineStr">
        <is>
          <t>Статус</t>
        </is>
      </c>
      <c r="C6" s="3" t="inlineStr">
        <is>
          <t>Источник / обоснование</t>
        </is>
      </c>
    </row>
    <row r="7">
      <c r="A7" s="8" t="inlineStr">
        <is>
          <t>Бетон C35/45 W12F200, грн/м3</t>
        </is>
      </c>
      <c r="B7" s="6" t="inlineStr">
        <is>
          <t>сверено веб-поиском (базовый ориентир) + экспертная оценка класса/добавок</t>
        </is>
      </c>
      <c r="C7" s="8" t="inlineStr">
        <is>
          <t>ukrbeton.com, transbetonstroy.com.ua (сентябрь 2026) — базовая цена от ~3051 грн/м3; для W12/F200 и доставки принят диапазон 4500-8000 грн/м3</t>
        </is>
      </c>
    </row>
    <row r="8">
      <c r="A8" s="8" t="inlineStr">
        <is>
          <t>Арматура А500С Ø12, грн/м (-&gt; грн/т)</t>
        </is>
      </c>
      <c r="B8" s="6" t="inlineStr">
        <is>
          <t>сверено веб-поиском</t>
        </is>
      </c>
      <c r="C8" s="8" t="inlineStr">
        <is>
          <t>bekas.com.ua: 33.53 грн/м за Ø12 А500С (сентябрь 2026) =&gt; ~37 800 грн/т; для др. диаметров и с учётом волатильности принят диапазон 33000-55000 грн/т</t>
        </is>
      </c>
    </row>
    <row r="9">
      <c r="A9" s="8" t="inlineStr">
        <is>
          <t>Защитно-герметичные двери</t>
        </is>
      </c>
      <c r="B9" s="6" t="inlineStr">
        <is>
          <t>сверено веб-поиском (аналоги военного/двойного назначения)</t>
        </is>
      </c>
      <c r="C9" s="8" t="inlineStr">
        <is>
          <t>antifire.ua: модели 52000-70000 грн за дверь ДУ-III/ДУ-I; для частного укрытия принят более широкий диапазон 45000-100000 грн</t>
        </is>
      </c>
    </row>
    <row r="10">
      <c r="A10" s="8" t="inlineStr">
        <is>
          <t>Гибридный инвертор 5кВт / АКБ LiFePO4</t>
        </is>
      </c>
      <c r="B10" s="6" t="inlineStr">
        <is>
          <t>ориентировочно, конкретные цены в результатах поиска не найдены</t>
        </is>
      </c>
      <c r="C10" s="8" t="inlineStr">
        <is>
          <t>Оценка по общедоступным рыночным моделям (prom.ua, deps.ua, svoya-energy.com.ua), сентябрь 2026 — рекомендуется получить актуальные КП</t>
        </is>
      </c>
    </row>
    <row r="11">
      <c r="A11" s="8" t="inlineStr">
        <is>
          <t>Земляные работы, опалубка, бетонирование, вентиляция (оборудование), электрика, мебель, сантехника</t>
        </is>
      </c>
      <c r="B11" s="6" t="inlineStr">
        <is>
          <t>экспертная оценка по аналогам</t>
        </is>
      </c>
      <c r="C11" s="8" t="inlineStr">
        <is>
          <t>Не проверялось прямым веб-поиском в рамках этого комплекта — требует коммерческих предложений подрядчиков</t>
        </is>
      </c>
    </row>
  </sheetData>
  <mergeCells count="1">
    <mergeCell ref="A1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3" t="inlineStr">
        <is>
          <t>№</t>
        </is>
      </c>
      <c r="B6" s="3" t="inlineStr">
        <is>
          <t>Риск</t>
        </is>
      </c>
      <c r="C6" s="3" t="inlineStr">
        <is>
          <t>Последствие</t>
        </is>
      </c>
      <c r="D6" s="3" t="inlineStr">
        <is>
          <t>Рекомендация</t>
        </is>
      </c>
    </row>
    <row r="7">
      <c r="A7" s="6" t="n">
        <v>1</v>
      </c>
      <c r="B7" s="8" t="inlineStr">
        <is>
          <t>Отсутствие инженерно-геологических изысканий</t>
        </is>
      </c>
      <c r="C7" s="8" t="inlineStr">
        <is>
          <t>Неверные допущения по УГВ, грунту, основанию -&gt; ошибки в расчёте плиты, стен, всплытия</t>
        </is>
      </c>
      <c r="D7" s="8" t="inlineStr">
        <is>
          <t>Заказать изыскания ДО разработки рабочего проекта</t>
        </is>
      </c>
    </row>
    <row r="8">
      <c r="A8" s="6" t="n">
        <v>2</v>
      </c>
      <c r="B8" s="8" t="inlineStr">
        <is>
          <t>Всплытие конструкции при высоком УГВ (FS~1,1-1,2 в предв. расчёте)</t>
        </is>
      </c>
      <c r="C8" s="8" t="inlineStr">
        <is>
          <t>Подъём/раскрытие швов, потеря герметичности, повреждение конструкций</t>
        </is>
      </c>
      <c r="D8" s="8" t="inlineStr">
        <is>
          <t>Уточнить УГВ; рассмотреть утяжеление, консоль плиты, анкеры</t>
        </is>
      </c>
    </row>
    <row r="9">
      <c r="A9" s="6" t="n">
        <v>3</v>
      </c>
      <c r="B9" s="8" t="inlineStr">
        <is>
          <t>Невозможность мембранной гидроизоляции («белая ванна»)</t>
        </is>
      </c>
      <c r="C9" s="8" t="inlineStr">
        <is>
          <t>Риск фильтрации через рабочие швы и трещины при отсутствии контроля качества бетона</t>
        </is>
      </c>
      <c r="D9" s="8" t="inlineStr">
        <is>
          <t>Гидрошпонки+инъекционные шланги+кристаллизующиеся добавки; строгий контроль швов</t>
        </is>
      </c>
    </row>
    <row r="10">
      <c r="A10" s="6" t="n">
        <v>4</v>
      </c>
      <c r="B10" s="8" t="inlineStr">
        <is>
          <t>Отсутствие расчёта на боковое давление грунта по факту грунта участка</t>
        </is>
      </c>
      <c r="C10" s="8" t="inlineStr">
        <is>
          <t>Недостаточное/избыточное армирование стен</t>
        </is>
      </c>
      <c r="D10" s="8" t="inlineStr">
        <is>
          <t>Расчёт по фактическим γ, φ грунта после изысканий</t>
        </is>
      </c>
    </row>
    <row r="11">
      <c r="A11" s="6" t="n">
        <v>5</v>
      </c>
      <c r="B11" s="8" t="inlineStr">
        <is>
          <t>Не определён класс защитного сооружения ЦЗ</t>
        </is>
      </c>
      <c r="C11" s="8" t="inlineStr">
        <is>
          <t>Толщины/армирование/двери могут не соответствовать требуемому классу защиты</t>
        </is>
      </c>
      <c r="D11" s="8" t="inlineStr">
        <is>
          <t>Определить класс защиты с проектировщиком до выпуска рабочего проекта</t>
        </is>
      </c>
    </row>
    <row r="12">
      <c r="A12" s="6" t="n">
        <v>6</v>
      </c>
      <c r="B12" s="8" t="inlineStr">
        <is>
          <t>Конкретные двери/люк не подобраны (нет паспортов изделий)</t>
        </is>
      </c>
      <c r="C12" s="8" t="inlineStr">
        <is>
          <t>Несоответствие проёмов, закладных, посадочных мест реальному изделию</t>
        </is>
      </c>
      <c r="D12" s="8" t="inlineStr">
        <is>
          <t>Подобрать изделия и скорректировать проёмы/закладные по паспорту</t>
        </is>
      </c>
    </row>
    <row r="13">
      <c r="A13" s="6" t="n">
        <v>7</v>
      </c>
      <c r="B13" s="8" t="inlineStr">
        <is>
          <t>Приблизительность объёмов бетона и арматуры (укрупнённая методика)</t>
        </is>
      </c>
      <c r="C13" s="8" t="inlineStr">
        <is>
          <t>Отклонение фактического расхода материалов от сметы</t>
        </is>
      </c>
      <c r="D13" s="8" t="inlineStr">
        <is>
          <t>Уточнить после разработки полных рабочих чертежей</t>
        </is>
      </c>
    </row>
    <row r="14">
      <c r="A14" s="6" t="n">
        <v>8</v>
      </c>
      <c r="B14" s="8" t="inlineStr">
        <is>
          <t>Цены в смете ориентировочные (часть — веб-поиск, часть — экспертная оценка)</t>
        </is>
      </c>
      <c r="C14" s="8" t="inlineStr">
        <is>
          <t>Отклонение бюджета от рыночных цен на момент закупки</t>
        </is>
      </c>
      <c r="D14" s="8" t="inlineStr">
        <is>
          <t>Получить актуальные коммерческие предложения от поставщиков/подрядчиков</t>
        </is>
      </c>
    </row>
  </sheetData>
  <mergeCells count="1">
    <mergeCell ref="A1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ЧЕРНОВОЙ ИНЖЕНЕРНЫЙ КОМПЛЕКТ. Черновой инженерный комплект. Не является рабочим КЖ-проектом и не предназначен для выполнения строительных работ без проверки, корректировки и выпуска лицензированным инженером-конструктором.</t>
        </is>
      </c>
    </row>
    <row r="2"/>
    <row r="3"/>
    <row r="6">
      <c r="A6" s="4" t="inlineStr">
        <is>
          <t>ВОПРОСЫ ЛИЦЕНЗИРОВАННОМУ ИНЖЕНЕРУ-КОНСТРУКТОРУ</t>
        </is>
      </c>
    </row>
    <row r="7">
      <c r="A7" s="3" t="inlineStr">
        <is>
          <t>№</t>
        </is>
      </c>
      <c r="B7" s="3" t="inlineStr">
        <is>
          <t>Вопрос</t>
        </is>
      </c>
    </row>
    <row r="8">
      <c r="A8" s="6" t="n">
        <v>1</v>
      </c>
      <c r="B8" s="8" t="inlineStr">
        <is>
          <t>Какой класс защитного сооружения ЦЗ требуется/достижим для данного объекта и участка?</t>
        </is>
      </c>
    </row>
    <row r="9">
      <c r="A9" s="6" t="n">
        <v>2</v>
      </c>
      <c r="B9" s="8" t="inlineStr">
        <is>
          <t>Достаточна ли толщина/армирование плит и стен с учётом фактической геологии и нагрузок?</t>
        </is>
      </c>
    </row>
    <row r="10">
      <c r="A10" s="6" t="n">
        <v>3</v>
      </c>
      <c r="B10" s="8" t="inlineStr">
        <is>
          <t>Каков итоговый коэффициент устойчивости на всплытие и какие меры необходимы (утяжеление/анкеры/консоль)?</t>
        </is>
      </c>
    </row>
    <row r="11">
      <c r="A11" s="6" t="n">
        <v>4</v>
      </c>
      <c r="B11" s="8" t="inlineStr">
        <is>
          <t>Какая система гидроизоляции («белая ванна») рекомендуется с учётом невозможности мембраны?</t>
        </is>
      </c>
    </row>
    <row r="12">
      <c r="A12" s="6" t="n">
        <v>5</v>
      </c>
      <c r="B12" s="8" t="inlineStr">
        <is>
          <t>Достаточно ли предварительное усиление проёмов (Ø16) или требуется отдельный расчёт?</t>
        </is>
      </c>
    </row>
    <row r="13">
      <c r="A13" s="6" t="n">
        <v>6</v>
      </c>
      <c r="B13" s="8" t="inlineStr">
        <is>
          <t>Какие нормативные документы (ДБН/ДСТУ) применимы в финальной редакции на дату проектирования?</t>
        </is>
      </c>
    </row>
    <row r="14">
      <c r="A14" s="6" t="n">
        <v>7</v>
      </c>
      <c r="B14" s="8" t="inlineStr">
        <is>
          <t>Требуется ли антисейсмическое/динамическое усиление с учётом местных условий?</t>
        </is>
      </c>
    </row>
    <row r="15">
      <c r="A15" s="6" t="n">
        <v>8</v>
      </c>
      <c r="B15" s="8" t="inlineStr">
        <is>
          <t>Каковы требования к защитным дверям (класс, избыточное давление) для выбранного класса защиты?</t>
        </is>
      </c>
    </row>
    <row r="16">
      <c r="A16" s="6" t="n"/>
      <c r="B16" s="6" t="n"/>
    </row>
    <row r="17">
      <c r="A17" s="9" t="inlineStr">
        <is>
          <t>ВОПРОСЫ ПОДРЯДЧИКУ ПЕРЕД ПОДПИСАНИЕМ ДОГОВОРА</t>
        </is>
      </c>
      <c r="B17" s="6" t="n"/>
    </row>
    <row r="18">
      <c r="A18" s="3" t="inlineStr">
        <is>
          <t>№</t>
        </is>
      </c>
      <c r="B18" s="3" t="inlineStr">
        <is>
          <t>Вопрос</t>
        </is>
      </c>
    </row>
    <row r="19">
      <c r="A19" s="6" t="n">
        <v>1</v>
      </c>
      <c r="B19" s="8" t="inlineStr">
        <is>
          <t>Подтверждаете ли вы объёмы бетона/арматуры по факту рабочих чертежей (не по этому черновику)?</t>
        </is>
      </c>
    </row>
    <row r="20">
      <c r="A20" s="6" t="n">
        <v>2</v>
      </c>
      <c r="B20" s="8" t="inlineStr">
        <is>
          <t>Какой конкретный завод-изготовитель бетона и способ доставки/подачи (миксер, насос) будет использован?</t>
        </is>
      </c>
    </row>
    <row r="21">
      <c r="A21" s="6" t="n">
        <v>3</v>
      </c>
      <c r="B21" s="8" t="inlineStr">
        <is>
          <t>Какие сроки и условия гарантии на гидроизоляцию швов («белую ванну»)?</t>
        </is>
      </c>
    </row>
    <row r="22">
      <c r="A22" s="6" t="n">
        <v>4</v>
      </c>
      <c r="B22" s="8" t="inlineStr">
        <is>
          <t>Какая модель защитно-герметичной и внутренней герметичной дверей предлагается и её паспортные данные?</t>
        </is>
      </c>
    </row>
    <row r="23">
      <c r="A23" s="6" t="n">
        <v>5</v>
      </c>
      <c r="B23" s="8" t="inlineStr">
        <is>
          <t>Кто выполняет и кто несёт ответственность за качество рабочих швов бетонирования?</t>
        </is>
      </c>
    </row>
    <row r="24">
      <c r="A24" s="6" t="n">
        <v>6</v>
      </c>
      <c r="B24" s="8" t="inlineStr">
        <is>
          <t>Предусмотрен ли технический надзор и промежуточная приёмка скрытых работ (арматура, гидроизоляция)?</t>
        </is>
      </c>
    </row>
    <row r="25">
      <c r="A25" s="6" t="n">
        <v>7</v>
      </c>
      <c r="B25" s="8" t="inlineStr">
        <is>
          <t>Как будет организован водоотлив на период строительства при возможном притоке грунтовых вод?</t>
        </is>
      </c>
    </row>
    <row r="26">
      <c r="A26" s="6" t="n">
        <v>8</v>
      </c>
      <c r="B26" s="8" t="inlineStr">
        <is>
          <t>Какова итоговая твёрдая/ориентировочная цена и порядок расчётов, привязанный к этапам работ?</t>
        </is>
      </c>
    </row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2026-09-12T15:07:40Z</dcterms:created>
  <dcterms:modified xsi:type="dcterms:W3CDTF">2026-09-12T15:07:40Z</dcterms:modified>
</cp:coreProperties>
</file>